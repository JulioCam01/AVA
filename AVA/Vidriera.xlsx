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julio\Dropbox\Mi PC (LAPTOP-27SLJAEE)\Desktop\"/>
    </mc:Choice>
  </mc:AlternateContent>
  <xr:revisionPtr revIDLastSave="0" documentId="8_{1A2660A1-E234-4313-9EEA-B674D10FE81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idrio" sheetId="1" r:id="rId1"/>
    <sheet name="Aluminio" sheetId="2" r:id="rId2"/>
    <sheet name="Complem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2" l="1"/>
  <c r="K11" i="2"/>
  <c r="K10" i="2"/>
  <c r="K9" i="2"/>
  <c r="P41" i="2"/>
  <c r="P40" i="2"/>
  <c r="P39" i="2"/>
  <c r="O48" i="2" s="1"/>
  <c r="O47" i="2"/>
  <c r="Q47" i="2" s="1"/>
  <c r="O46" i="2"/>
  <c r="Q46" i="2" s="1"/>
  <c r="J61" i="2"/>
  <c r="K61" i="2" s="1"/>
  <c r="J60" i="2"/>
  <c r="L60" i="2" s="1"/>
  <c r="J58" i="2"/>
  <c r="K58" i="2" s="1"/>
  <c r="K54" i="2"/>
  <c r="K53" i="2"/>
  <c r="K55" i="2"/>
  <c r="K29" i="2"/>
  <c r="K52" i="2"/>
  <c r="K51" i="2"/>
  <c r="J59" i="2" s="1"/>
  <c r="J8" i="2"/>
  <c r="K8" i="2" s="1"/>
  <c r="K26" i="2"/>
  <c r="Q28" i="2" s="1"/>
  <c r="Q33" i="2" s="1"/>
  <c r="K25" i="2"/>
  <c r="J14" i="2"/>
  <c r="K14" i="2" s="1"/>
  <c r="J13" i="2"/>
  <c r="K13" i="2" s="1"/>
  <c r="J12" i="2"/>
  <c r="J11" i="2"/>
  <c r="J10" i="2"/>
  <c r="J9" i="2"/>
  <c r="P62" i="2"/>
  <c r="P64" i="2" s="1"/>
  <c r="P63" i="2"/>
  <c r="P65" i="2" s="1"/>
  <c r="J57" i="2" l="1"/>
  <c r="K57" i="2" s="1"/>
  <c r="J64" i="2"/>
  <c r="J62" i="2"/>
  <c r="L62" i="2" s="1"/>
  <c r="J66" i="2"/>
  <c r="L66" i="2" s="1"/>
  <c r="J65" i="2"/>
  <c r="K65" i="2" s="1"/>
  <c r="K60" i="2"/>
  <c r="L59" i="2"/>
  <c r="K59" i="2"/>
  <c r="O45" i="2"/>
  <c r="Q45" i="2" s="1"/>
  <c r="L58" i="2"/>
  <c r="J63" i="2"/>
  <c r="O49" i="2"/>
  <c r="Q49" i="2" s="1"/>
  <c r="P48" i="2"/>
  <c r="O43" i="2"/>
  <c r="Q43" i="2" s="1"/>
  <c r="O44" i="2"/>
  <c r="P44" i="2" s="1"/>
  <c r="L57" i="2"/>
  <c r="L61" i="2"/>
  <c r="Q30" i="2"/>
  <c r="J37" i="2"/>
  <c r="K37" i="2" s="1"/>
  <c r="J39" i="2"/>
  <c r="K39" i="2" s="1"/>
  <c r="J31" i="2"/>
  <c r="K31" i="2" s="1"/>
  <c r="J34" i="2"/>
  <c r="J35" i="2"/>
  <c r="J33" i="2"/>
  <c r="K33" i="2" s="1"/>
  <c r="J40" i="2"/>
  <c r="O28" i="2"/>
  <c r="J32" i="2"/>
  <c r="K32" i="2" s="1"/>
  <c r="J36" i="2"/>
  <c r="K36" i="2" s="1"/>
  <c r="Q34" i="2"/>
  <c r="Q31" i="2"/>
  <c r="Q32" i="2"/>
  <c r="P47" i="2"/>
  <c r="P46" i="2"/>
  <c r="P45" i="2"/>
  <c r="Q44" i="2"/>
  <c r="Q48" i="2"/>
  <c r="U17" i="2"/>
  <c r="S17" i="2"/>
  <c r="K66" i="2" l="1"/>
  <c r="K62" i="2"/>
  <c r="K71" i="2" s="1"/>
  <c r="L64" i="2"/>
  <c r="K64" i="2"/>
  <c r="P49" i="2"/>
  <c r="L63" i="2"/>
  <c r="K63" i="2"/>
  <c r="P43" i="2"/>
  <c r="L33" i="2"/>
  <c r="L36" i="2"/>
  <c r="O32" i="2"/>
  <c r="O31" i="2"/>
  <c r="O33" i="2"/>
  <c r="O30" i="2"/>
  <c r="P54" i="2"/>
  <c r="N17" i="2"/>
  <c r="P17" i="2"/>
  <c r="N19" i="2"/>
  <c r="Q17" i="2" s="1"/>
  <c r="O17" i="2"/>
  <c r="F16" i="2"/>
  <c r="F17" i="2"/>
  <c r="F18" i="2"/>
  <c r="F19" i="2"/>
  <c r="K40" i="2"/>
  <c r="K72" i="2" l="1"/>
  <c r="J38" i="2"/>
  <c r="K38" i="2" s="1"/>
  <c r="F8" i="2"/>
  <c r="F9" i="2"/>
  <c r="F10" i="2"/>
  <c r="F11" i="2"/>
  <c r="F12" i="2"/>
  <c r="F13" i="2"/>
  <c r="F14" i="2"/>
  <c r="F15" i="2"/>
  <c r="F20" i="2"/>
  <c r="F21" i="2"/>
  <c r="F22" i="2"/>
  <c r="F23" i="2"/>
  <c r="F24" i="2"/>
  <c r="F25" i="2"/>
  <c r="F26" i="2"/>
  <c r="F29" i="2"/>
  <c r="F30" i="2"/>
  <c r="F31" i="2"/>
  <c r="F32" i="2"/>
  <c r="F33" i="2"/>
  <c r="F34" i="2"/>
  <c r="F35" i="2"/>
  <c r="F38" i="2"/>
  <c r="F40" i="2"/>
  <c r="F41" i="2"/>
  <c r="F42" i="2"/>
  <c r="F43" i="2"/>
  <c r="F44" i="2"/>
  <c r="F6" i="2"/>
  <c r="L14" i="2" l="1"/>
  <c r="L31" i="2"/>
  <c r="L35" i="2"/>
  <c r="K35" i="2"/>
  <c r="L34" i="2"/>
  <c r="K34" i="2"/>
  <c r="L40" i="2"/>
  <c r="L37" i="2"/>
  <c r="L38" i="2"/>
  <c r="L32" i="2"/>
  <c r="L13" i="2"/>
  <c r="K45" i="2" l="1"/>
  <c r="K46" i="2"/>
  <c r="K19" i="2"/>
  <c r="L9" i="2"/>
  <c r="L12" i="2"/>
  <c r="L11" i="2"/>
  <c r="L10" i="2"/>
  <c r="L8" i="2"/>
  <c r="F7" i="2"/>
  <c r="F5" i="1"/>
  <c r="F6" i="1"/>
  <c r="F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9" i="1"/>
  <c r="I30" i="1"/>
  <c r="I31" i="1"/>
  <c r="I32" i="1"/>
  <c r="I33" i="1"/>
  <c r="I34" i="1"/>
  <c r="I4" i="1"/>
  <c r="I37" i="1" l="1"/>
  <c r="F7" i="1"/>
  <c r="G7" i="1" s="1"/>
  <c r="F34" i="1"/>
  <c r="G34" i="1" s="1"/>
  <c r="H34" i="1" s="1"/>
  <c r="G5" i="1"/>
  <c r="G6" i="1"/>
  <c r="H6" i="1" s="1"/>
  <c r="F10" i="1"/>
  <c r="F11" i="1"/>
  <c r="G11" i="1" s="1"/>
  <c r="H11" i="1" s="1"/>
  <c r="F14" i="1"/>
  <c r="G14" i="1" s="1"/>
  <c r="H14" i="1" s="1"/>
  <c r="F15" i="1"/>
  <c r="G15" i="1" s="1"/>
  <c r="F18" i="1"/>
  <c r="F19" i="1"/>
  <c r="F22" i="1"/>
  <c r="G22" i="1" s="1"/>
  <c r="H22" i="1" s="1"/>
  <c r="F23" i="1"/>
  <c r="G23" i="1" s="1"/>
  <c r="F26" i="1"/>
  <c r="F29" i="1"/>
  <c r="G29" i="1" s="1"/>
  <c r="H29" i="1" s="1"/>
  <c r="F32" i="1"/>
  <c r="G32" i="1" s="1"/>
  <c r="F33" i="1"/>
  <c r="G33" i="1" s="1"/>
  <c r="G4" i="1"/>
  <c r="G19" i="1" l="1"/>
  <c r="H19" i="1" s="1"/>
  <c r="F31" i="1"/>
  <c r="G31" i="1" s="1"/>
  <c r="F25" i="1"/>
  <c r="G25" i="1" s="1"/>
  <c r="F21" i="1"/>
  <c r="G21" i="1" s="1"/>
  <c r="F17" i="1"/>
  <c r="F13" i="1"/>
  <c r="G13" i="1" s="1"/>
  <c r="F9" i="1"/>
  <c r="G9" i="1" s="1"/>
  <c r="G26" i="1"/>
  <c r="H26" i="1" s="1"/>
  <c r="F30" i="1"/>
  <c r="G30" i="1" s="1"/>
  <c r="H30" i="1" s="1"/>
  <c r="F24" i="1"/>
  <c r="G24" i="1" s="1"/>
  <c r="H24" i="1" s="1"/>
  <c r="F20" i="1"/>
  <c r="G20" i="1" s="1"/>
  <c r="H20" i="1" s="1"/>
  <c r="F16" i="1"/>
  <c r="G16" i="1" s="1"/>
  <c r="H16" i="1" s="1"/>
  <c r="F12" i="1"/>
  <c r="G12" i="1" s="1"/>
  <c r="H12" i="1" s="1"/>
  <c r="F8" i="1"/>
  <c r="G8" i="1" s="1"/>
  <c r="H8" i="1" s="1"/>
  <c r="H32" i="1"/>
  <c r="H23" i="1"/>
  <c r="G18" i="1"/>
  <c r="H18" i="1" s="1"/>
  <c r="G10" i="1"/>
  <c r="H10" i="1" s="1"/>
  <c r="H7" i="1"/>
  <c r="H4" i="1"/>
  <c r="G17" i="1"/>
  <c r="H17" i="1" s="1"/>
  <c r="H5" i="1"/>
  <c r="H33" i="1"/>
  <c r="H15" i="1"/>
  <c r="H13" i="1" l="1"/>
  <c r="H21" i="1"/>
  <c r="F37" i="1"/>
  <c r="F38" i="1" s="1"/>
  <c r="G37" i="1"/>
  <c r="H9" i="1"/>
  <c r="H25" i="1"/>
  <c r="H31" i="1"/>
  <c r="H37" i="1" l="1"/>
</calcChain>
</file>

<file path=xl/sharedStrings.xml><?xml version="1.0" encoding="utf-8"?>
<sst xmlns="http://schemas.openxmlformats.org/spreadsheetml/2006/main" count="262" uniqueCount="118">
  <si>
    <t xml:space="preserve">PRESUPUESTO DE VIDRIOS </t>
  </si>
  <si>
    <t>CANTIDAD</t>
  </si>
  <si>
    <t>ANCHO</t>
  </si>
  <si>
    <t>ALTO</t>
  </si>
  <si>
    <t>PRECIO x M2</t>
  </si>
  <si>
    <t>TOTAL</t>
  </si>
  <si>
    <t>TOTAL DEL PRESUPUESTO</t>
  </si>
  <si>
    <t xml:space="preserve">LISTA DE PRECIOS </t>
  </si>
  <si>
    <t>TIPO</t>
  </si>
  <si>
    <t xml:space="preserve">GRUESOR </t>
  </si>
  <si>
    <t>CLARO</t>
  </si>
  <si>
    <t>FILTRASOL</t>
  </si>
  <si>
    <t>LUNA</t>
  </si>
  <si>
    <t>SATINADO</t>
  </si>
  <si>
    <t>SATINADO Vrd</t>
  </si>
  <si>
    <t>TINTEX</t>
  </si>
  <si>
    <t xml:space="preserve">TINTEX PLUS </t>
  </si>
  <si>
    <t>CHINO CLARO</t>
  </si>
  <si>
    <t>CHINO NEGRO</t>
  </si>
  <si>
    <t>ACRILICO</t>
  </si>
  <si>
    <t>POLICARBONATO</t>
  </si>
  <si>
    <t xml:space="preserve">SOLITE VERDE </t>
  </si>
  <si>
    <t xml:space="preserve">REFLECTA PLATA </t>
  </si>
  <si>
    <t>3MM</t>
  </si>
  <si>
    <t>4MM</t>
  </si>
  <si>
    <t>6MM</t>
  </si>
  <si>
    <t>9MM</t>
  </si>
  <si>
    <t>-----</t>
  </si>
  <si>
    <t xml:space="preserve">metro de bisel </t>
  </si>
  <si>
    <t>NOTA: Para eliminar los elementos dentro de la tabla selecionalos y presionar tecla "Supr"</t>
  </si>
  <si>
    <t xml:space="preserve">TOTAL TOTAL </t>
  </si>
  <si>
    <t>METRO DE BISELADO</t>
  </si>
  <si>
    <t xml:space="preserve">Lista de precios de aluminio </t>
  </si>
  <si>
    <t xml:space="preserve">precio </t>
  </si>
  <si>
    <t>LINEA</t>
  </si>
  <si>
    <t>COLOR</t>
  </si>
  <si>
    <t>PRECIO X TRAMO</t>
  </si>
  <si>
    <t>PRECIO X Mts</t>
  </si>
  <si>
    <t>2 Pulgadas</t>
  </si>
  <si>
    <t>3 Pulgadas</t>
  </si>
  <si>
    <t>PERFIL</t>
  </si>
  <si>
    <t>Jamba</t>
  </si>
  <si>
    <t>Riel</t>
  </si>
  <si>
    <t>Cerco chapa</t>
  </si>
  <si>
    <t>Cerco traslape</t>
  </si>
  <si>
    <t xml:space="preserve">zoclo </t>
  </si>
  <si>
    <t xml:space="preserve">bolsa </t>
  </si>
  <si>
    <t>x</t>
  </si>
  <si>
    <t xml:space="preserve">solera </t>
  </si>
  <si>
    <t xml:space="preserve">TABLA DE COMPLEMENTOS </t>
  </si>
  <si>
    <t>Producto</t>
  </si>
  <si>
    <t xml:space="preserve">Silicon Transparente </t>
  </si>
  <si>
    <t xml:space="preserve">Silicon Blanco </t>
  </si>
  <si>
    <t xml:space="preserve">Acrilastic </t>
  </si>
  <si>
    <t>Perfil</t>
  </si>
  <si>
    <t xml:space="preserve">metros </t>
  </si>
  <si>
    <t>precio</t>
  </si>
  <si>
    <t>tramos</t>
  </si>
  <si>
    <t xml:space="preserve">Riel </t>
  </si>
  <si>
    <t>Zoclo</t>
  </si>
  <si>
    <t>Vidrio</t>
  </si>
  <si>
    <t>Mosquitero</t>
  </si>
  <si>
    <t xml:space="preserve">Accesorio </t>
  </si>
  <si>
    <t>mano de obra</t>
  </si>
  <si>
    <t>Calculadora ventana lisa</t>
  </si>
  <si>
    <t>Precio vidrio</t>
  </si>
  <si>
    <t>Cantidad de ventanas</t>
  </si>
  <si>
    <t>marco semilujo</t>
  </si>
  <si>
    <t>blanco</t>
  </si>
  <si>
    <t>madera</t>
  </si>
  <si>
    <t>junquillo</t>
  </si>
  <si>
    <t>felpa</t>
  </si>
  <si>
    <t xml:space="preserve">felpon </t>
  </si>
  <si>
    <t>jaladera embutida inman</t>
  </si>
  <si>
    <t xml:space="preserve">cuadricula </t>
  </si>
  <si>
    <t>duela doble vista</t>
  </si>
  <si>
    <t>Calculadora ventana cuadritos</t>
  </si>
  <si>
    <t>cuadricula</t>
  </si>
  <si>
    <t xml:space="preserve">bisel </t>
  </si>
  <si>
    <t>TOTAL Normal</t>
  </si>
  <si>
    <t>TOTAL biselado</t>
  </si>
  <si>
    <t>Cerco</t>
  </si>
  <si>
    <t>MEDIDAD VENTANAS 3"</t>
  </si>
  <si>
    <t>Ancho</t>
  </si>
  <si>
    <t>Alto</t>
  </si>
  <si>
    <t>NOTA: Cuando el zozlo pasa de 2 mts serian 2 de doble vena</t>
  </si>
  <si>
    <t>angulo de trabajo</t>
  </si>
  <si>
    <t>vertical mosquitero</t>
  </si>
  <si>
    <t>horizontal Mosquitero</t>
  </si>
  <si>
    <t>Calculadora ventana lisa (MADERA)</t>
  </si>
  <si>
    <t>Calculadora ventana cuadritos (MADERA)</t>
  </si>
  <si>
    <t>2x1 (regla)</t>
  </si>
  <si>
    <t>natural/blanco</t>
  </si>
  <si>
    <t>3 x 1/2 (regla)</t>
  </si>
  <si>
    <t>Medidas Puertas Batiente/Cerco</t>
  </si>
  <si>
    <t xml:space="preserve">Alto </t>
  </si>
  <si>
    <t>Marco</t>
  </si>
  <si>
    <t>Hoja</t>
  </si>
  <si>
    <t>Vertical</t>
  </si>
  <si>
    <t>Horizontal</t>
  </si>
  <si>
    <t>Solera</t>
  </si>
  <si>
    <t>Vidios para ventana de cuadritos</t>
  </si>
  <si>
    <t>Vidrios</t>
  </si>
  <si>
    <r>
      <rPr>
        <b/>
        <sz val="11"/>
        <color rgb="FFFF0000"/>
        <rFont val="Calibri"/>
        <family val="2"/>
        <scheme val="minor"/>
      </rPr>
      <t>vidrios ancho</t>
    </r>
    <r>
      <rPr>
        <b/>
        <sz val="11"/>
        <color theme="1"/>
        <rFont val="Calibri"/>
        <family val="2"/>
        <scheme val="minor"/>
      </rPr>
      <t xml:space="preserve"> x Ventana</t>
    </r>
  </si>
  <si>
    <r>
      <rPr>
        <b/>
        <sz val="11"/>
        <color rgb="FFFF0000"/>
        <rFont val="Calibri"/>
        <family val="2"/>
        <scheme val="minor"/>
      </rPr>
      <t>Vidrios alto</t>
    </r>
    <r>
      <rPr>
        <b/>
        <sz val="11"/>
        <color theme="1"/>
        <rFont val="Calibri"/>
        <family val="2"/>
        <scheme val="minor"/>
      </rPr>
      <t xml:space="preserve">  x Ventana</t>
    </r>
  </si>
  <si>
    <t>6 x ventana</t>
  </si>
  <si>
    <t>4 x ventana</t>
  </si>
  <si>
    <t>2 x ventana</t>
  </si>
  <si>
    <t>3 x ventana</t>
  </si>
  <si>
    <t>5 x ventana</t>
  </si>
  <si>
    <r>
      <t>4 x ventana</t>
    </r>
    <r>
      <rPr>
        <sz val="11"/>
        <color theme="1"/>
        <rFont val="Calibri"/>
        <family val="2"/>
        <scheme val="minor"/>
      </rPr>
      <t>(2xhoja)</t>
    </r>
  </si>
  <si>
    <r>
      <t>6 x ventana</t>
    </r>
    <r>
      <rPr>
        <sz val="11"/>
        <color theme="1"/>
        <rFont val="Calibri"/>
        <family val="2"/>
        <scheme val="minor"/>
      </rPr>
      <t>(3xhoja)</t>
    </r>
  </si>
  <si>
    <r>
      <t xml:space="preserve"> 8 x ventana</t>
    </r>
    <r>
      <rPr>
        <sz val="11"/>
        <color theme="1"/>
        <rFont val="Calibri"/>
        <family val="2"/>
        <scheme val="minor"/>
      </rPr>
      <t>(4xhoja)</t>
    </r>
  </si>
  <si>
    <r>
      <t>10 x Ventana</t>
    </r>
    <r>
      <rPr>
        <sz val="11"/>
        <color theme="1"/>
        <rFont val="Calibri"/>
        <family val="2"/>
        <scheme val="minor"/>
      </rPr>
      <t>(5xhoja)</t>
    </r>
  </si>
  <si>
    <r>
      <rPr>
        <b/>
        <sz val="12"/>
        <color rgb="FFFF0000"/>
        <rFont val="Calibri"/>
        <family val="2"/>
        <scheme val="minor"/>
      </rPr>
      <t>vidrios ancho</t>
    </r>
    <r>
      <rPr>
        <b/>
        <sz val="12"/>
        <color theme="1"/>
        <rFont val="Calibri"/>
        <family val="2"/>
        <scheme val="minor"/>
      </rPr>
      <t xml:space="preserve"> x Ventana</t>
    </r>
  </si>
  <si>
    <r>
      <rPr>
        <b/>
        <sz val="12"/>
        <color rgb="FFFF0000"/>
        <rFont val="Calibri"/>
        <family val="2"/>
        <scheme val="minor"/>
      </rPr>
      <t>Vidrios alto</t>
    </r>
    <r>
      <rPr>
        <b/>
        <sz val="12"/>
        <color theme="1"/>
        <rFont val="Calibri"/>
        <family val="2"/>
        <scheme val="minor"/>
      </rPr>
      <t xml:space="preserve">  x Ventana</t>
    </r>
  </si>
  <si>
    <t xml:space="preserve">TEMPLADO </t>
  </si>
  <si>
    <t>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</si>
</sst>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&quot;$&quot;* #,##0.000_-;\-&quot;$&quot;* #,##0.0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5">
    <xf numFmtId="0" fontId="0" fillId="0" borderId="0" xfId="0"/>
    <xf numFmtId="0" fontId="0" fillId="0" borderId="1" xfId="0" applyBorder="1"/>
    <xf numFmtId="164" fontId="0" fillId="0" borderId="1" xfId="2" applyFont="1" applyBorder="1"/>
    <xf numFmtId="0" fontId="0" fillId="0" borderId="8" xfId="0" applyBorder="1"/>
    <xf numFmtId="164" fontId="0" fillId="0" borderId="7" xfId="2" applyFont="1" applyBorder="1"/>
    <xf numFmtId="164" fontId="0" fillId="4" borderId="7" xfId="2" applyFont="1" applyFill="1" applyBorder="1"/>
    <xf numFmtId="0" fontId="0" fillId="4" borderId="7" xfId="0" applyFill="1" applyBorder="1"/>
    <xf numFmtId="2" fontId="0" fillId="0" borderId="1" xfId="2" applyNumberFormat="1" applyFont="1" applyBorder="1"/>
    <xf numFmtId="164" fontId="0" fillId="0" borderId="10" xfId="2" applyFont="1" applyBorder="1"/>
    <xf numFmtId="164" fontId="0" fillId="4" borderId="1" xfId="2" applyFont="1" applyFill="1" applyBorder="1"/>
    <xf numFmtId="2" fontId="0" fillId="4" borderId="1" xfId="2" applyNumberFormat="1" applyFont="1" applyFill="1" applyBorder="1"/>
    <xf numFmtId="164" fontId="0" fillId="0" borderId="12" xfId="2" applyFont="1" applyBorder="1"/>
    <xf numFmtId="2" fontId="0" fillId="0" borderId="12" xfId="2" applyNumberFormat="1" applyFont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164" fontId="0" fillId="0" borderId="13" xfId="2" applyFont="1" applyBorder="1"/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/>
    <xf numFmtId="164" fontId="0" fillId="0" borderId="9" xfId="2" applyFont="1" applyBorder="1"/>
    <xf numFmtId="4" fontId="0" fillId="0" borderId="13" xfId="0" applyNumberFormat="1" applyBorder="1"/>
    <xf numFmtId="0" fontId="0" fillId="10" borderId="1" xfId="0" applyFill="1" applyBorder="1" applyAlignment="1">
      <alignment horizontal="center" vertical="center"/>
    </xf>
    <xf numFmtId="0" fontId="0" fillId="7" borderId="34" xfId="0" applyFill="1" applyBorder="1"/>
    <xf numFmtId="0" fontId="0" fillId="7" borderId="32" xfId="0" applyFill="1" applyBorder="1"/>
    <xf numFmtId="0" fontId="0" fillId="7" borderId="33" xfId="0" applyFill="1" applyBorder="1"/>
    <xf numFmtId="0" fontId="8" fillId="12" borderId="2" xfId="0" applyFont="1" applyFill="1" applyBorder="1" applyAlignment="1">
      <alignment horizontal="center" vertical="center"/>
    </xf>
    <xf numFmtId="164" fontId="11" fillId="0" borderId="2" xfId="0" applyNumberFormat="1" applyFont="1" applyBorder="1"/>
    <xf numFmtId="2" fontId="0" fillId="0" borderId="28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164" fontId="0" fillId="10" borderId="1" xfId="2" applyFont="1" applyFill="1" applyBorder="1" applyAlignment="1">
      <alignment horizontal="center" vertical="center"/>
    </xf>
    <xf numFmtId="164" fontId="0" fillId="0" borderId="1" xfId="2" applyFont="1" applyBorder="1" applyAlignment="1">
      <alignment horizontal="center" vertical="center"/>
    </xf>
    <xf numFmtId="164" fontId="0" fillId="7" borderId="1" xfId="2" applyFont="1" applyFill="1" applyBorder="1" applyAlignment="1">
      <alignment horizontal="center" vertical="center"/>
    </xf>
    <xf numFmtId="164" fontId="0" fillId="7" borderId="1" xfId="2" applyFont="1" applyFill="1" applyBorder="1"/>
    <xf numFmtId="164" fontId="0" fillId="10" borderId="1" xfId="2" applyFont="1" applyFill="1" applyBorder="1"/>
    <xf numFmtId="0" fontId="0" fillId="1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13" borderId="1" xfId="0" applyFill="1" applyBorder="1"/>
    <xf numFmtId="4" fontId="0" fillId="0" borderId="7" xfId="0" applyNumberFormat="1" applyBorder="1"/>
    <xf numFmtId="4" fontId="0" fillId="0" borderId="10" xfId="0" applyNumberFormat="1" applyBorder="1"/>
    <xf numFmtId="0" fontId="0" fillId="0" borderId="11" xfId="0" applyBorder="1" applyAlignment="1">
      <alignment horizontal="center" vertical="center"/>
    </xf>
    <xf numFmtId="2" fontId="0" fillId="0" borderId="12" xfId="1" applyNumberFormat="1" applyFon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15" borderId="64" xfId="0" applyFont="1" applyFill="1" applyBorder="1" applyAlignment="1">
      <alignment horizontal="center" vertical="center"/>
    </xf>
    <xf numFmtId="0" fontId="12" fillId="15" borderId="64" xfId="0" applyFont="1" applyFill="1" applyBorder="1" applyAlignment="1">
      <alignment horizontal="center" vertical="center"/>
    </xf>
    <xf numFmtId="0" fontId="12" fillId="15" borderId="65" xfId="0" applyFont="1" applyFill="1" applyBorder="1" applyAlignment="1">
      <alignment horizontal="center" vertical="center"/>
    </xf>
    <xf numFmtId="0" fontId="0" fillId="15" borderId="0" xfId="0" applyFill="1" applyBorder="1"/>
    <xf numFmtId="0" fontId="0" fillId="15" borderId="60" xfId="0" applyFill="1" applyBorder="1"/>
    <xf numFmtId="0" fontId="6" fillId="15" borderId="0" xfId="0" applyFont="1" applyFill="1" applyBorder="1" applyAlignment="1">
      <alignment horizontal="center" vertical="center"/>
    </xf>
    <xf numFmtId="0" fontId="0" fillId="10" borderId="78" xfId="0" applyFill="1" applyBorder="1" applyAlignment="1">
      <alignment horizontal="center" vertical="center"/>
    </xf>
    <xf numFmtId="166" fontId="0" fillId="0" borderId="79" xfId="2" applyNumberFormat="1" applyFon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7" borderId="78" xfId="0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164" fontId="0" fillId="0" borderId="81" xfId="2" applyFont="1" applyBorder="1"/>
    <xf numFmtId="166" fontId="0" fillId="0" borderId="82" xfId="2" applyNumberFormat="1" applyFont="1" applyBorder="1" applyAlignment="1">
      <alignment horizontal="center" vertical="center"/>
    </xf>
    <xf numFmtId="0" fontId="9" fillId="0" borderId="11" xfId="0" applyFont="1" applyBorder="1"/>
    <xf numFmtId="0" fontId="9" fillId="4" borderId="6" xfId="0" applyFont="1" applyFill="1" applyBorder="1"/>
    <xf numFmtId="0" fontId="9" fillId="0" borderId="6" xfId="0" applyFont="1" applyBorder="1"/>
    <xf numFmtId="0" fontId="4" fillId="6" borderId="76" xfId="0" applyFont="1" applyFill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4" fillId="6" borderId="7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16" borderId="2" xfId="0" applyFont="1" applyFill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4" xfId="0" applyBorder="1" applyAlignment="1">
      <alignment vertical="center"/>
    </xf>
    <xf numFmtId="0" fontId="9" fillId="0" borderId="83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9" fillId="0" borderId="32" xfId="0" applyFont="1" applyBorder="1"/>
    <xf numFmtId="0" fontId="9" fillId="0" borderId="33" xfId="0" applyFont="1" applyBorder="1"/>
    <xf numFmtId="0" fontId="0" fillId="0" borderId="38" xfId="0" applyBorder="1" applyAlignment="1">
      <alignment vertical="center"/>
    </xf>
    <xf numFmtId="0" fontId="15" fillId="17" borderId="39" xfId="0" applyFont="1" applyFill="1" applyBorder="1"/>
    <xf numFmtId="0" fontId="15" fillId="17" borderId="37" xfId="0" applyFont="1" applyFill="1" applyBorder="1"/>
    <xf numFmtId="0" fontId="17" fillId="0" borderId="0" xfId="0" applyFont="1"/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64" fontId="10" fillId="0" borderId="22" xfId="2" applyFont="1" applyBorder="1" applyAlignment="1">
      <alignment horizontal="center" vertical="center"/>
    </xf>
    <xf numFmtId="164" fontId="10" fillId="0" borderId="23" xfId="2" applyFont="1" applyBorder="1" applyAlignment="1">
      <alignment horizontal="center" vertical="center"/>
    </xf>
    <xf numFmtId="164" fontId="10" fillId="0" borderId="24" xfId="2" applyFont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164" fontId="10" fillId="0" borderId="9" xfId="2" applyFont="1" applyBorder="1" applyAlignment="1">
      <alignment horizontal="center"/>
    </xf>
    <xf numFmtId="164" fontId="10" fillId="0" borderId="10" xfId="2" applyFont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7" fillId="5" borderId="25" xfId="0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9" fillId="11" borderId="42" xfId="0" applyFont="1" applyFill="1" applyBorder="1" applyAlignment="1">
      <alignment horizontal="center" vertical="center"/>
    </xf>
    <xf numFmtId="0" fontId="9" fillId="11" borderId="40" xfId="0" applyFont="1" applyFill="1" applyBorder="1" applyAlignment="1">
      <alignment horizontal="center" vertical="center"/>
    </xf>
    <xf numFmtId="0" fontId="9" fillId="11" borderId="41" xfId="0" applyFont="1" applyFill="1" applyBorder="1" applyAlignment="1">
      <alignment horizontal="center" vertical="center"/>
    </xf>
    <xf numFmtId="0" fontId="9" fillId="11" borderId="39" xfId="0" applyFont="1" applyFill="1" applyBorder="1" applyAlignment="1">
      <alignment horizontal="center" vertical="center"/>
    </xf>
    <xf numFmtId="0" fontId="9" fillId="11" borderId="37" xfId="0" applyFont="1" applyFill="1" applyBorder="1" applyAlignment="1">
      <alignment horizontal="center" vertical="center"/>
    </xf>
    <xf numFmtId="0" fontId="9" fillId="11" borderId="38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29" xfId="0" applyBorder="1" applyAlignment="1">
      <alignment horizontal="center"/>
    </xf>
    <xf numFmtId="0" fontId="4" fillId="6" borderId="22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7" fillId="5" borderId="53" xfId="0" applyFont="1" applyFill="1" applyBorder="1" applyAlignment="1">
      <alignment horizontal="center"/>
    </xf>
    <xf numFmtId="0" fontId="7" fillId="5" borderId="54" xfId="0" applyFon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7" fillId="5" borderId="43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164" fontId="10" fillId="0" borderId="55" xfId="2" applyFont="1" applyBorder="1" applyAlignment="1">
      <alignment horizontal="center"/>
    </xf>
    <xf numFmtId="164" fontId="10" fillId="0" borderId="44" xfId="2" applyFont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5" fillId="5" borderId="56" xfId="0" applyFont="1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  <xf numFmtId="0" fontId="0" fillId="5" borderId="58" xfId="0" applyFill="1" applyBorder="1" applyAlignment="1">
      <alignment horizontal="center" vertical="center"/>
    </xf>
    <xf numFmtId="0" fontId="0" fillId="5" borderId="59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60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74" xfId="0" applyFill="1" applyBorder="1" applyAlignment="1">
      <alignment horizontal="center" vertical="center"/>
    </xf>
    <xf numFmtId="0" fontId="6" fillId="11" borderId="42" xfId="0" applyFont="1" applyFill="1" applyBorder="1" applyAlignment="1">
      <alignment horizontal="center" vertical="center"/>
    </xf>
    <xf numFmtId="0" fontId="6" fillId="11" borderId="40" xfId="0" applyFont="1" applyFill="1" applyBorder="1" applyAlignment="1">
      <alignment horizontal="center" vertical="center"/>
    </xf>
    <xf numFmtId="0" fontId="6" fillId="11" borderId="41" xfId="0" applyFont="1" applyFill="1" applyBorder="1" applyAlignment="1">
      <alignment horizontal="center" vertical="center"/>
    </xf>
    <xf numFmtId="0" fontId="6" fillId="11" borderId="39" xfId="0" applyFont="1" applyFill="1" applyBorder="1" applyAlignment="1">
      <alignment horizontal="center" vertical="center"/>
    </xf>
    <xf numFmtId="0" fontId="6" fillId="11" borderId="37" xfId="0" applyFont="1" applyFill="1" applyBorder="1" applyAlignment="1">
      <alignment horizontal="center" vertical="center"/>
    </xf>
    <xf numFmtId="0" fontId="6" fillId="11" borderId="38" xfId="0" applyFont="1" applyFill="1" applyBorder="1" applyAlignment="1">
      <alignment horizontal="center" vertical="center"/>
    </xf>
    <xf numFmtId="0" fontId="9" fillId="6" borderId="68" xfId="0" applyFont="1" applyFill="1" applyBorder="1" applyAlignment="1">
      <alignment horizontal="center" vertical="center"/>
    </xf>
    <xf numFmtId="0" fontId="9" fillId="6" borderId="69" xfId="0" applyFont="1" applyFill="1" applyBorder="1" applyAlignment="1">
      <alignment horizontal="center" vertical="center"/>
    </xf>
    <xf numFmtId="0" fontId="12" fillId="5" borderId="56" xfId="0" applyFont="1" applyFill="1" applyBorder="1" applyAlignment="1">
      <alignment horizontal="center" vertical="center"/>
    </xf>
    <xf numFmtId="0" fontId="12" fillId="5" borderId="57" xfId="0" applyFont="1" applyFill="1" applyBorder="1" applyAlignment="1">
      <alignment horizontal="center" vertical="center"/>
    </xf>
    <xf numFmtId="0" fontId="12" fillId="5" borderId="58" xfId="0" applyFont="1" applyFill="1" applyBorder="1" applyAlignment="1">
      <alignment horizontal="center" vertical="center"/>
    </xf>
    <xf numFmtId="0" fontId="12" fillId="5" borderId="59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5" borderId="60" xfId="0" applyFont="1" applyFill="1" applyBorder="1" applyAlignment="1">
      <alignment horizontal="center" vertical="center"/>
    </xf>
    <xf numFmtId="0" fontId="6" fillId="14" borderId="56" xfId="0" applyFont="1" applyFill="1" applyBorder="1" applyAlignment="1">
      <alignment horizontal="center" vertical="center"/>
    </xf>
    <xf numFmtId="0" fontId="6" fillId="14" borderId="58" xfId="0" applyFont="1" applyFill="1" applyBorder="1" applyAlignment="1">
      <alignment horizontal="center" vertical="center"/>
    </xf>
    <xf numFmtId="0" fontId="6" fillId="14" borderId="67" xfId="0" applyFont="1" applyFill="1" applyBorder="1" applyAlignment="1">
      <alignment horizontal="center" vertical="center"/>
    </xf>
    <xf numFmtId="0" fontId="6" fillId="14" borderId="74" xfId="0" applyFont="1" applyFill="1" applyBorder="1" applyAlignment="1">
      <alignment horizontal="center" vertical="center"/>
    </xf>
    <xf numFmtId="0" fontId="6" fillId="14" borderId="66" xfId="0" applyFont="1" applyFill="1" applyBorder="1" applyAlignment="1">
      <alignment horizontal="center" vertical="center"/>
    </xf>
    <xf numFmtId="0" fontId="6" fillId="14" borderId="75" xfId="0" applyFont="1" applyFill="1" applyBorder="1" applyAlignment="1">
      <alignment horizontal="center" vertical="center"/>
    </xf>
    <xf numFmtId="0" fontId="6" fillId="14" borderId="61" xfId="0" applyFont="1" applyFill="1" applyBorder="1" applyAlignment="1">
      <alignment horizontal="center" vertical="center"/>
    </xf>
    <xf numFmtId="0" fontId="6" fillId="14" borderId="63" xfId="0" applyFont="1" applyFill="1" applyBorder="1" applyAlignment="1">
      <alignment horizontal="center" vertical="center"/>
    </xf>
    <xf numFmtId="0" fontId="12" fillId="5" borderId="66" xfId="0" applyFont="1" applyFill="1" applyBorder="1" applyAlignment="1">
      <alignment horizontal="center" vertical="center"/>
    </xf>
    <xf numFmtId="0" fontId="12" fillId="5" borderId="75" xfId="0" applyFont="1" applyFill="1" applyBorder="1" applyAlignment="1">
      <alignment horizontal="center" vertical="center"/>
    </xf>
    <xf numFmtId="0" fontId="12" fillId="5" borderId="67" xfId="0" applyFont="1" applyFill="1" applyBorder="1" applyAlignment="1">
      <alignment horizontal="center" vertical="center"/>
    </xf>
    <xf numFmtId="0" fontId="12" fillId="5" borderId="74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/>
    </xf>
    <xf numFmtId="0" fontId="9" fillId="6" borderId="24" xfId="0" applyFont="1" applyFill="1" applyBorder="1" applyAlignment="1">
      <alignment horizontal="center"/>
    </xf>
    <xf numFmtId="0" fontId="4" fillId="6" borderId="57" xfId="0" applyFont="1" applyFill="1" applyBorder="1" applyAlignment="1">
      <alignment horizontal="center" vertical="center"/>
    </xf>
    <xf numFmtId="0" fontId="4" fillId="6" borderId="58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4" fillId="6" borderId="56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0" fontId="12" fillId="5" borderId="42" xfId="0" applyFont="1" applyFill="1" applyBorder="1" applyAlignment="1">
      <alignment horizontal="center"/>
    </xf>
    <xf numFmtId="0" fontId="12" fillId="5" borderId="40" xfId="0" applyFont="1" applyFill="1" applyBorder="1" applyAlignment="1">
      <alignment horizontal="center"/>
    </xf>
    <xf numFmtId="0" fontId="12" fillId="5" borderId="41" xfId="0" applyFont="1" applyFill="1" applyBorder="1" applyAlignment="1">
      <alignment horizontal="center"/>
    </xf>
    <xf numFmtId="0" fontId="12" fillId="5" borderId="39" xfId="0" applyFont="1" applyFill="1" applyBorder="1" applyAlignment="1">
      <alignment horizontal="center"/>
    </xf>
    <xf numFmtId="0" fontId="12" fillId="5" borderId="37" xfId="0" applyFont="1" applyFill="1" applyBorder="1" applyAlignment="1">
      <alignment horizontal="center"/>
    </xf>
    <xf numFmtId="0" fontId="12" fillId="5" borderId="38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9" fillId="6" borderId="50" xfId="0" applyFont="1" applyFill="1" applyBorder="1" applyAlignment="1">
      <alignment horizontal="center" vertical="center"/>
    </xf>
    <xf numFmtId="0" fontId="9" fillId="6" borderId="49" xfId="0" applyFont="1" applyFill="1" applyBorder="1" applyAlignment="1">
      <alignment horizontal="center" vertical="center"/>
    </xf>
    <xf numFmtId="0" fontId="9" fillId="6" borderId="48" xfId="0" applyFont="1" applyFill="1" applyBorder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97FF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8"/>
  <sheetViews>
    <sheetView topLeftCell="A7" zoomScale="70" zoomScaleNormal="70" workbookViewId="0">
      <selection activeCell="T23" sqref="T23"/>
    </sheetView>
  </sheetViews>
  <sheetFormatPr baseColWidth="10" defaultRowHeight="14.4" x14ac:dyDescent="0.3"/>
  <cols>
    <col min="1" max="1" width="4.44140625" customWidth="1"/>
    <col min="2" max="2" width="12.88671875" bestFit="1" customWidth="1"/>
    <col min="5" max="5" width="15" bestFit="1" customWidth="1"/>
    <col min="6" max="6" width="16.109375" customWidth="1"/>
    <col min="7" max="7" width="3.44140625" hidden="1" customWidth="1"/>
    <col min="8" max="8" width="14" hidden="1" customWidth="1"/>
    <col min="9" max="9" width="24" bestFit="1" customWidth="1"/>
    <col min="10" max="10" width="6.33203125" customWidth="1"/>
    <col min="11" max="11" width="3" customWidth="1"/>
    <col min="12" max="12" width="2.5546875" customWidth="1"/>
    <col min="13" max="13" width="8.5546875" customWidth="1"/>
    <col min="14" max="14" width="29.44140625" bestFit="1" customWidth="1"/>
    <col min="15" max="15" width="14.88671875" customWidth="1"/>
    <col min="16" max="16" width="15" bestFit="1" customWidth="1"/>
  </cols>
  <sheetData>
    <row r="1" spans="2:16" ht="15" thickBot="1" x14ac:dyDescent="0.35"/>
    <row r="2" spans="2:16" ht="15" thickBot="1" x14ac:dyDescent="0.35">
      <c r="B2" s="108" t="s">
        <v>0</v>
      </c>
      <c r="C2" s="109"/>
      <c r="D2" s="109"/>
      <c r="E2" s="109"/>
      <c r="F2" s="109"/>
      <c r="G2" s="109"/>
      <c r="H2" s="109"/>
      <c r="I2" s="110"/>
      <c r="N2" s="96" t="s">
        <v>7</v>
      </c>
      <c r="O2" s="97"/>
      <c r="P2" s="98"/>
    </row>
    <row r="3" spans="2:16" ht="15" thickBot="1" x14ac:dyDescent="0.35">
      <c r="B3" s="13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5</v>
      </c>
      <c r="H3" s="14" t="s">
        <v>5</v>
      </c>
      <c r="I3" s="15" t="s">
        <v>31</v>
      </c>
      <c r="N3" s="13" t="s">
        <v>8</v>
      </c>
      <c r="O3" s="14" t="s">
        <v>9</v>
      </c>
      <c r="P3" s="15" t="s">
        <v>4</v>
      </c>
    </row>
    <row r="4" spans="2:16" ht="18" x14ac:dyDescent="0.35">
      <c r="B4" s="42"/>
      <c r="C4" s="43"/>
      <c r="D4" s="44"/>
      <c r="E4" s="45"/>
      <c r="F4" s="11">
        <f>(((C4*D4)*E4)*0.0001)*B4</f>
        <v>0</v>
      </c>
      <c r="G4" s="11">
        <f t="shared" ref="G4:H19" si="0">(((D4*E4)*F4)*0.0001)*C4</f>
        <v>0</v>
      </c>
      <c r="H4" s="11">
        <f t="shared" si="0"/>
        <v>0</v>
      </c>
      <c r="I4" s="12">
        <f>(((C4*2)+(D4*2))*B4)/100</f>
        <v>0</v>
      </c>
      <c r="N4" s="71" t="s">
        <v>10</v>
      </c>
      <c r="O4" s="45" t="s">
        <v>23</v>
      </c>
      <c r="P4" s="16">
        <v>340</v>
      </c>
    </row>
    <row r="5" spans="2:16" ht="18" x14ac:dyDescent="0.35">
      <c r="B5" s="46"/>
      <c r="C5" s="47"/>
      <c r="D5" s="47"/>
      <c r="E5" s="48"/>
      <c r="F5" s="9">
        <f t="shared" ref="F5:F34" si="1">(((C5*D5)*E5)*0.0001)*B5</f>
        <v>0</v>
      </c>
      <c r="G5" s="9">
        <f t="shared" si="0"/>
        <v>0</v>
      </c>
      <c r="H5" s="9">
        <f t="shared" si="0"/>
        <v>0</v>
      </c>
      <c r="I5" s="10">
        <f t="shared" ref="I5:I34" si="2">(((C5*2)+(D5*2))*B5)/100</f>
        <v>0</v>
      </c>
      <c r="N5" s="72" t="s">
        <v>10</v>
      </c>
      <c r="O5" s="51" t="s">
        <v>24</v>
      </c>
      <c r="P5" s="5">
        <v>390</v>
      </c>
    </row>
    <row r="6" spans="2:16" ht="18" x14ac:dyDescent="0.35">
      <c r="B6" s="49"/>
      <c r="C6" s="50"/>
      <c r="D6" s="50"/>
      <c r="E6" s="45"/>
      <c r="F6" s="2">
        <f t="shared" si="1"/>
        <v>0</v>
      </c>
      <c r="G6" s="2">
        <f t="shared" si="0"/>
        <v>0</v>
      </c>
      <c r="H6" s="2">
        <f t="shared" si="0"/>
        <v>0</v>
      </c>
      <c r="I6" s="7">
        <f t="shared" si="2"/>
        <v>0</v>
      </c>
      <c r="N6" s="73" t="s">
        <v>10</v>
      </c>
      <c r="O6" s="17" t="s">
        <v>25</v>
      </c>
      <c r="P6" s="4">
        <v>500</v>
      </c>
    </row>
    <row r="7" spans="2:16" ht="18" x14ac:dyDescent="0.35">
      <c r="B7" s="46"/>
      <c r="C7" s="47"/>
      <c r="D7" s="47"/>
      <c r="E7" s="48"/>
      <c r="F7" s="9">
        <f t="shared" si="1"/>
        <v>0</v>
      </c>
      <c r="G7" s="9">
        <f t="shared" si="0"/>
        <v>0</v>
      </c>
      <c r="H7" s="9">
        <f t="shared" si="0"/>
        <v>0</v>
      </c>
      <c r="I7" s="10">
        <f t="shared" si="2"/>
        <v>0</v>
      </c>
      <c r="N7" s="72" t="s">
        <v>10</v>
      </c>
      <c r="O7" s="51" t="s">
        <v>26</v>
      </c>
      <c r="P7" s="5">
        <v>710</v>
      </c>
    </row>
    <row r="8" spans="2:16" ht="18" x14ac:dyDescent="0.35">
      <c r="B8" s="49"/>
      <c r="C8" s="50"/>
      <c r="D8" s="50"/>
      <c r="E8" s="45"/>
      <c r="F8" s="2">
        <f t="shared" si="1"/>
        <v>0</v>
      </c>
      <c r="G8" s="2">
        <f t="shared" si="0"/>
        <v>0</v>
      </c>
      <c r="H8" s="2">
        <f t="shared" si="0"/>
        <v>0</v>
      </c>
      <c r="I8" s="7">
        <f t="shared" si="2"/>
        <v>0</v>
      </c>
      <c r="N8" s="73" t="s">
        <v>11</v>
      </c>
      <c r="O8" s="17" t="s">
        <v>24</v>
      </c>
      <c r="P8" s="4">
        <v>410</v>
      </c>
    </row>
    <row r="9" spans="2:16" ht="18" x14ac:dyDescent="0.35">
      <c r="B9" s="46"/>
      <c r="C9" s="47"/>
      <c r="D9" s="47"/>
      <c r="E9" s="51"/>
      <c r="F9" s="9">
        <f t="shared" si="1"/>
        <v>0</v>
      </c>
      <c r="G9" s="9">
        <f t="shared" si="0"/>
        <v>0</v>
      </c>
      <c r="H9" s="9">
        <f t="shared" si="0"/>
        <v>0</v>
      </c>
      <c r="I9" s="10">
        <f t="shared" si="2"/>
        <v>0</v>
      </c>
      <c r="N9" s="72" t="s">
        <v>11</v>
      </c>
      <c r="O9" s="51" t="s">
        <v>25</v>
      </c>
      <c r="P9" s="5">
        <v>510</v>
      </c>
    </row>
    <row r="10" spans="2:16" ht="18" x14ac:dyDescent="0.35">
      <c r="B10" s="49"/>
      <c r="C10" s="50"/>
      <c r="D10" s="50"/>
      <c r="E10" s="17"/>
      <c r="F10" s="2">
        <f t="shared" si="1"/>
        <v>0</v>
      </c>
      <c r="G10" s="2">
        <f t="shared" si="0"/>
        <v>0</v>
      </c>
      <c r="H10" s="2">
        <f t="shared" si="0"/>
        <v>0</v>
      </c>
      <c r="I10" s="7">
        <f t="shared" si="2"/>
        <v>0</v>
      </c>
      <c r="N10" s="73" t="s">
        <v>12</v>
      </c>
      <c r="O10" s="17" t="s">
        <v>23</v>
      </c>
      <c r="P10" s="4">
        <v>440</v>
      </c>
    </row>
    <row r="11" spans="2:16" ht="18" x14ac:dyDescent="0.35">
      <c r="B11" s="46"/>
      <c r="C11" s="47"/>
      <c r="D11" s="47"/>
      <c r="E11" s="51"/>
      <c r="F11" s="9">
        <f t="shared" si="1"/>
        <v>0</v>
      </c>
      <c r="G11" s="9">
        <f t="shared" si="0"/>
        <v>0</v>
      </c>
      <c r="H11" s="9">
        <f t="shared" si="0"/>
        <v>0</v>
      </c>
      <c r="I11" s="10">
        <f t="shared" si="2"/>
        <v>0</v>
      </c>
      <c r="N11" s="72" t="s">
        <v>12</v>
      </c>
      <c r="O11" s="51" t="s">
        <v>24</v>
      </c>
      <c r="P11" s="5">
        <v>520</v>
      </c>
    </row>
    <row r="12" spans="2:16" ht="18" x14ac:dyDescent="0.35">
      <c r="B12" s="49"/>
      <c r="C12" s="50"/>
      <c r="D12" s="50"/>
      <c r="E12" s="17"/>
      <c r="F12" s="2">
        <f t="shared" si="1"/>
        <v>0</v>
      </c>
      <c r="G12" s="2">
        <f t="shared" si="0"/>
        <v>0</v>
      </c>
      <c r="H12" s="2">
        <f t="shared" si="0"/>
        <v>0</v>
      </c>
      <c r="I12" s="7">
        <f t="shared" si="2"/>
        <v>0</v>
      </c>
      <c r="N12" s="73" t="s">
        <v>12</v>
      </c>
      <c r="O12" s="17" t="s">
        <v>25</v>
      </c>
      <c r="P12" s="4">
        <v>830</v>
      </c>
    </row>
    <row r="13" spans="2:16" ht="18" x14ac:dyDescent="0.35">
      <c r="B13" s="46"/>
      <c r="C13" s="47"/>
      <c r="D13" s="47"/>
      <c r="E13" s="51"/>
      <c r="F13" s="9">
        <f t="shared" si="1"/>
        <v>0</v>
      </c>
      <c r="G13" s="9">
        <f t="shared" si="0"/>
        <v>0</v>
      </c>
      <c r="H13" s="9">
        <f t="shared" si="0"/>
        <v>0</v>
      </c>
      <c r="I13" s="10">
        <f t="shared" si="2"/>
        <v>0</v>
      </c>
      <c r="N13" s="72" t="s">
        <v>13</v>
      </c>
      <c r="O13" s="51" t="s">
        <v>24</v>
      </c>
      <c r="P13" s="5">
        <v>510</v>
      </c>
    </row>
    <row r="14" spans="2:16" ht="18" x14ac:dyDescent="0.35">
      <c r="B14" s="49"/>
      <c r="C14" s="50"/>
      <c r="D14" s="50"/>
      <c r="E14" s="17"/>
      <c r="F14" s="2">
        <f t="shared" si="1"/>
        <v>0</v>
      </c>
      <c r="G14" s="2">
        <f t="shared" si="0"/>
        <v>0</v>
      </c>
      <c r="H14" s="2">
        <f t="shared" si="0"/>
        <v>0</v>
      </c>
      <c r="I14" s="7">
        <f t="shared" si="2"/>
        <v>0</v>
      </c>
      <c r="N14" s="73" t="s">
        <v>13</v>
      </c>
      <c r="O14" s="17" t="s">
        <v>25</v>
      </c>
      <c r="P14" s="4">
        <v>620</v>
      </c>
    </row>
    <row r="15" spans="2:16" ht="18" x14ac:dyDescent="0.35">
      <c r="B15" s="46"/>
      <c r="C15" s="47"/>
      <c r="D15" s="47"/>
      <c r="E15" s="51"/>
      <c r="F15" s="9">
        <f t="shared" si="1"/>
        <v>0</v>
      </c>
      <c r="G15" s="9">
        <f t="shared" si="0"/>
        <v>0</v>
      </c>
      <c r="H15" s="9">
        <f t="shared" si="0"/>
        <v>0</v>
      </c>
      <c r="I15" s="10">
        <f t="shared" si="2"/>
        <v>0</v>
      </c>
      <c r="N15" s="72" t="s">
        <v>14</v>
      </c>
      <c r="O15" s="51" t="s">
        <v>25</v>
      </c>
      <c r="P15" s="5">
        <v>680</v>
      </c>
    </row>
    <row r="16" spans="2:16" ht="18" x14ac:dyDescent="0.35">
      <c r="B16" s="49"/>
      <c r="C16" s="50"/>
      <c r="D16" s="50"/>
      <c r="E16" s="17"/>
      <c r="F16" s="2">
        <f t="shared" si="1"/>
        <v>0</v>
      </c>
      <c r="G16" s="2">
        <f t="shared" si="0"/>
        <v>0</v>
      </c>
      <c r="H16" s="2">
        <f t="shared" si="0"/>
        <v>0</v>
      </c>
      <c r="I16" s="7">
        <f t="shared" si="2"/>
        <v>0</v>
      </c>
      <c r="N16" s="73" t="s">
        <v>15</v>
      </c>
      <c r="O16" s="17" t="s">
        <v>24</v>
      </c>
      <c r="P16" s="4"/>
    </row>
    <row r="17" spans="2:20" ht="18" x14ac:dyDescent="0.35">
      <c r="B17" s="46"/>
      <c r="C17" s="47"/>
      <c r="D17" s="47"/>
      <c r="E17" s="51"/>
      <c r="F17" s="9">
        <f t="shared" si="1"/>
        <v>0</v>
      </c>
      <c r="G17" s="9">
        <f t="shared" si="0"/>
        <v>0</v>
      </c>
      <c r="H17" s="9">
        <f t="shared" si="0"/>
        <v>0</v>
      </c>
      <c r="I17" s="10">
        <f t="shared" si="2"/>
        <v>0</v>
      </c>
      <c r="N17" s="72" t="s">
        <v>15</v>
      </c>
      <c r="O17" s="51" t="s">
        <v>25</v>
      </c>
      <c r="P17" s="5">
        <v>530</v>
      </c>
    </row>
    <row r="18" spans="2:20" ht="18" x14ac:dyDescent="0.35">
      <c r="B18" s="49"/>
      <c r="C18" s="50"/>
      <c r="D18" s="50"/>
      <c r="E18" s="17"/>
      <c r="F18" s="2">
        <f t="shared" si="1"/>
        <v>0</v>
      </c>
      <c r="G18" s="2">
        <f t="shared" si="0"/>
        <v>0</v>
      </c>
      <c r="H18" s="2">
        <f t="shared" si="0"/>
        <v>0</v>
      </c>
      <c r="I18" s="7">
        <f t="shared" si="2"/>
        <v>0</v>
      </c>
      <c r="N18" s="73" t="s">
        <v>15</v>
      </c>
      <c r="O18" s="17" t="s">
        <v>26</v>
      </c>
      <c r="P18" s="4"/>
    </row>
    <row r="19" spans="2:20" ht="18" x14ac:dyDescent="0.35">
      <c r="B19" s="46"/>
      <c r="C19" s="47"/>
      <c r="D19" s="47"/>
      <c r="E19" s="51"/>
      <c r="F19" s="9">
        <f t="shared" si="1"/>
        <v>0</v>
      </c>
      <c r="G19" s="9">
        <f t="shared" si="0"/>
        <v>0</v>
      </c>
      <c r="H19" s="9">
        <f t="shared" si="0"/>
        <v>0</v>
      </c>
      <c r="I19" s="10">
        <f t="shared" si="2"/>
        <v>0</v>
      </c>
      <c r="N19" s="72" t="s">
        <v>16</v>
      </c>
      <c r="O19" s="51" t="s">
        <v>25</v>
      </c>
      <c r="P19" s="5"/>
    </row>
    <row r="20" spans="2:20" ht="18" x14ac:dyDescent="0.35">
      <c r="B20" s="49"/>
      <c r="C20" s="50"/>
      <c r="D20" s="50"/>
      <c r="E20" s="17"/>
      <c r="F20" s="2">
        <f t="shared" si="1"/>
        <v>0</v>
      </c>
      <c r="G20" s="2">
        <f t="shared" ref="G20:G34" si="3">(((D20*E20)*F20)*0.0001)*C20</f>
        <v>0</v>
      </c>
      <c r="H20" s="2">
        <f t="shared" ref="H20:H34" si="4">(((E20*F20)*G20)*0.0001)*D20</f>
        <v>0</v>
      </c>
      <c r="I20" s="7">
        <f t="shared" si="2"/>
        <v>0</v>
      </c>
      <c r="N20" s="73" t="s">
        <v>17</v>
      </c>
      <c r="O20" s="17" t="s">
        <v>24</v>
      </c>
      <c r="P20" s="4">
        <v>440</v>
      </c>
    </row>
    <row r="21" spans="2:20" ht="18" x14ac:dyDescent="0.35">
      <c r="B21" s="46"/>
      <c r="C21" s="47"/>
      <c r="D21" s="47"/>
      <c r="E21" s="51"/>
      <c r="F21" s="9">
        <f t="shared" si="1"/>
        <v>0</v>
      </c>
      <c r="G21" s="9">
        <f t="shared" si="3"/>
        <v>0</v>
      </c>
      <c r="H21" s="9">
        <f t="shared" si="4"/>
        <v>0</v>
      </c>
      <c r="I21" s="10">
        <f t="shared" si="2"/>
        <v>0</v>
      </c>
      <c r="N21" s="72" t="s">
        <v>18</v>
      </c>
      <c r="O21" s="51" t="s">
        <v>24</v>
      </c>
      <c r="P21" s="5">
        <v>610</v>
      </c>
    </row>
    <row r="22" spans="2:20" ht="18" x14ac:dyDescent="0.35">
      <c r="B22" s="49"/>
      <c r="C22" s="50"/>
      <c r="D22" s="50"/>
      <c r="E22" s="17"/>
      <c r="F22" s="2">
        <f t="shared" si="1"/>
        <v>0</v>
      </c>
      <c r="G22" s="2">
        <f t="shared" si="3"/>
        <v>0</v>
      </c>
      <c r="H22" s="2">
        <f t="shared" si="4"/>
        <v>0</v>
      </c>
      <c r="I22" s="7">
        <f t="shared" si="2"/>
        <v>0</v>
      </c>
      <c r="N22" s="73" t="s">
        <v>19</v>
      </c>
      <c r="O22" s="17" t="s">
        <v>23</v>
      </c>
      <c r="P22" s="4">
        <v>700</v>
      </c>
    </row>
    <row r="23" spans="2:20" ht="18" x14ac:dyDescent="0.35">
      <c r="B23" s="46"/>
      <c r="C23" s="47"/>
      <c r="D23" s="47"/>
      <c r="E23" s="51"/>
      <c r="F23" s="9">
        <f t="shared" si="1"/>
        <v>0</v>
      </c>
      <c r="G23" s="9">
        <f t="shared" si="3"/>
        <v>0</v>
      </c>
      <c r="H23" s="9">
        <f t="shared" si="4"/>
        <v>0</v>
      </c>
      <c r="I23" s="10">
        <f t="shared" si="2"/>
        <v>0</v>
      </c>
      <c r="N23" s="72" t="s">
        <v>19</v>
      </c>
      <c r="O23" s="51" t="s">
        <v>25</v>
      </c>
      <c r="P23" s="5"/>
      <c r="T23" s="92"/>
    </row>
    <row r="24" spans="2:20" ht="18" x14ac:dyDescent="0.35">
      <c r="B24" s="49"/>
      <c r="C24" s="50"/>
      <c r="D24" s="50"/>
      <c r="E24" s="17"/>
      <c r="F24" s="2">
        <f t="shared" si="1"/>
        <v>0</v>
      </c>
      <c r="G24" s="2">
        <f t="shared" si="3"/>
        <v>0</v>
      </c>
      <c r="H24" s="2">
        <f t="shared" si="4"/>
        <v>0</v>
      </c>
      <c r="I24" s="7">
        <f t="shared" si="2"/>
        <v>0</v>
      </c>
      <c r="N24" s="73" t="s">
        <v>20</v>
      </c>
      <c r="O24" s="55" t="s">
        <v>27</v>
      </c>
      <c r="P24" s="4">
        <v>280</v>
      </c>
    </row>
    <row r="25" spans="2:20" ht="18" x14ac:dyDescent="0.35">
      <c r="B25" s="46"/>
      <c r="C25" s="47"/>
      <c r="D25" s="47"/>
      <c r="E25" s="51"/>
      <c r="F25" s="9">
        <f t="shared" si="1"/>
        <v>0</v>
      </c>
      <c r="G25" s="9">
        <f t="shared" si="3"/>
        <v>0</v>
      </c>
      <c r="H25" s="9">
        <f t="shared" si="4"/>
        <v>0</v>
      </c>
      <c r="I25" s="10">
        <f t="shared" si="2"/>
        <v>0</v>
      </c>
      <c r="N25" s="72" t="s">
        <v>21</v>
      </c>
      <c r="O25" s="51" t="s">
        <v>25</v>
      </c>
      <c r="P25" s="5">
        <v>700</v>
      </c>
    </row>
    <row r="26" spans="2:20" ht="18" x14ac:dyDescent="0.35">
      <c r="B26" s="49"/>
      <c r="C26" s="50"/>
      <c r="D26" s="50"/>
      <c r="E26" s="17"/>
      <c r="F26" s="2">
        <f t="shared" si="1"/>
        <v>0</v>
      </c>
      <c r="G26" s="2">
        <f t="shared" si="3"/>
        <v>0</v>
      </c>
      <c r="H26" s="2">
        <f t="shared" si="4"/>
        <v>0</v>
      </c>
      <c r="I26" s="7">
        <f t="shared" si="2"/>
        <v>0</v>
      </c>
      <c r="N26" s="73" t="s">
        <v>22</v>
      </c>
      <c r="O26" s="17" t="s">
        <v>25</v>
      </c>
      <c r="P26" s="4">
        <v>1000</v>
      </c>
    </row>
    <row r="27" spans="2:20" ht="18" x14ac:dyDescent="0.35">
      <c r="B27" s="46"/>
      <c r="C27" s="47"/>
      <c r="D27" s="47"/>
      <c r="E27" s="51"/>
      <c r="F27" s="9"/>
      <c r="G27" s="9"/>
      <c r="H27" s="9"/>
      <c r="I27" s="10"/>
      <c r="N27" s="72"/>
      <c r="O27" s="51"/>
      <c r="P27" s="5"/>
    </row>
    <row r="28" spans="2:20" ht="18" x14ac:dyDescent="0.35">
      <c r="B28" s="49"/>
      <c r="C28" s="50"/>
      <c r="D28" s="50"/>
      <c r="E28" s="17"/>
      <c r="F28" s="2"/>
      <c r="G28" s="2"/>
      <c r="H28" s="2"/>
      <c r="I28" s="7"/>
      <c r="N28" s="73" t="s">
        <v>116</v>
      </c>
      <c r="O28" s="17" t="s">
        <v>25</v>
      </c>
      <c r="P28" s="4"/>
    </row>
    <row r="29" spans="2:20" ht="18" x14ac:dyDescent="0.35">
      <c r="B29" s="46"/>
      <c r="C29" s="47"/>
      <c r="D29" s="47"/>
      <c r="E29" s="51"/>
      <c r="F29" s="9">
        <f t="shared" si="1"/>
        <v>0</v>
      </c>
      <c r="G29" s="9">
        <f t="shared" si="3"/>
        <v>0</v>
      </c>
      <c r="H29" s="9">
        <f t="shared" si="4"/>
        <v>0</v>
      </c>
      <c r="I29" s="10">
        <f t="shared" si="2"/>
        <v>0</v>
      </c>
      <c r="N29" s="72" t="s">
        <v>116</v>
      </c>
      <c r="O29" s="51" t="s">
        <v>117</v>
      </c>
      <c r="P29" s="6"/>
    </row>
    <row r="30" spans="2:20" ht="15" thickBot="1" x14ac:dyDescent="0.35">
      <c r="B30" s="49"/>
      <c r="C30" s="50"/>
      <c r="D30" s="50"/>
      <c r="E30" s="17"/>
      <c r="F30" s="2">
        <f t="shared" si="1"/>
        <v>0</v>
      </c>
      <c r="G30" s="2">
        <f t="shared" si="3"/>
        <v>0</v>
      </c>
      <c r="H30" s="2">
        <f t="shared" si="4"/>
        <v>0</v>
      </c>
      <c r="I30" s="7">
        <f t="shared" si="2"/>
        <v>0</v>
      </c>
      <c r="N30" s="3" t="s">
        <v>28</v>
      </c>
      <c r="O30" s="54"/>
      <c r="P30" s="8">
        <v>40</v>
      </c>
    </row>
    <row r="31" spans="2:20" x14ac:dyDescent="0.3">
      <c r="B31" s="46"/>
      <c r="C31" s="47"/>
      <c r="D31" s="47"/>
      <c r="E31" s="51"/>
      <c r="F31" s="9">
        <f t="shared" si="1"/>
        <v>0</v>
      </c>
      <c r="G31" s="9">
        <f t="shared" si="3"/>
        <v>0</v>
      </c>
      <c r="H31" s="9">
        <f t="shared" si="4"/>
        <v>0</v>
      </c>
      <c r="I31" s="10">
        <f t="shared" si="2"/>
        <v>0</v>
      </c>
    </row>
    <row r="32" spans="2:20" ht="15" thickBot="1" x14ac:dyDescent="0.35">
      <c r="B32" s="49"/>
      <c r="C32" s="50"/>
      <c r="D32" s="50"/>
      <c r="E32" s="17"/>
      <c r="F32" s="2">
        <f t="shared" si="1"/>
        <v>0</v>
      </c>
      <c r="G32" s="2">
        <f t="shared" si="3"/>
        <v>0</v>
      </c>
      <c r="H32" s="2">
        <f t="shared" si="4"/>
        <v>0</v>
      </c>
      <c r="I32" s="7">
        <f t="shared" si="2"/>
        <v>0</v>
      </c>
    </row>
    <row r="33" spans="2:16" x14ac:dyDescent="0.3">
      <c r="B33" s="46"/>
      <c r="C33" s="47"/>
      <c r="D33" s="47"/>
      <c r="E33" s="51"/>
      <c r="F33" s="9">
        <f t="shared" si="1"/>
        <v>0</v>
      </c>
      <c r="G33" s="9">
        <f t="shared" si="3"/>
        <v>0</v>
      </c>
      <c r="H33" s="9">
        <f t="shared" si="4"/>
        <v>0</v>
      </c>
      <c r="I33" s="10">
        <f t="shared" si="2"/>
        <v>0</v>
      </c>
      <c r="N33" s="99" t="s">
        <v>29</v>
      </c>
      <c r="O33" s="100"/>
      <c r="P33" s="101"/>
    </row>
    <row r="34" spans="2:16" ht="15" thickBot="1" x14ac:dyDescent="0.35">
      <c r="B34" s="52"/>
      <c r="C34" s="53"/>
      <c r="D34" s="53"/>
      <c r="E34" s="54"/>
      <c r="F34" s="2">
        <f t="shared" si="1"/>
        <v>0</v>
      </c>
      <c r="G34" s="2">
        <f t="shared" si="3"/>
        <v>0</v>
      </c>
      <c r="H34" s="2">
        <f t="shared" si="4"/>
        <v>0</v>
      </c>
      <c r="I34" s="7">
        <f t="shared" si="2"/>
        <v>0</v>
      </c>
      <c r="N34" s="102"/>
      <c r="O34" s="103"/>
      <c r="P34" s="104"/>
    </row>
    <row r="35" spans="2:16" x14ac:dyDescent="0.3">
      <c r="N35" s="102"/>
      <c r="O35" s="103"/>
      <c r="P35" s="104"/>
    </row>
    <row r="36" spans="2:16" ht="15" thickBot="1" x14ac:dyDescent="0.35">
      <c r="N36" s="102"/>
      <c r="O36" s="103"/>
      <c r="P36" s="104"/>
    </row>
    <row r="37" spans="2:16" ht="18.600000000000001" thickBot="1" x14ac:dyDescent="0.4">
      <c r="B37" s="93" t="s">
        <v>6</v>
      </c>
      <c r="C37" s="94"/>
      <c r="D37" s="94"/>
      <c r="E37" s="95"/>
      <c r="F37" s="28">
        <f>SUM(F4:F29)</f>
        <v>0</v>
      </c>
      <c r="G37" s="28">
        <f t="shared" ref="G37:H37" si="5">SUM(G4:G29)</f>
        <v>0</v>
      </c>
      <c r="H37" s="28">
        <f t="shared" si="5"/>
        <v>0</v>
      </c>
      <c r="I37" s="28">
        <f>SUM(I4:I34)*P30</f>
        <v>0</v>
      </c>
      <c r="N37" s="105"/>
      <c r="O37" s="106"/>
      <c r="P37" s="107"/>
    </row>
    <row r="38" spans="2:16" ht="18.600000000000001" thickBot="1" x14ac:dyDescent="0.4">
      <c r="B38" s="111" t="s">
        <v>30</v>
      </c>
      <c r="C38" s="112"/>
      <c r="D38" s="112"/>
      <c r="E38" s="113"/>
      <c r="F38" s="114">
        <f>ROUNDUP((F37+I37),0)</f>
        <v>0</v>
      </c>
      <c r="G38" s="115"/>
      <c r="H38" s="115"/>
      <c r="I38" s="116"/>
    </row>
  </sheetData>
  <mergeCells count="6">
    <mergeCell ref="B37:E37"/>
    <mergeCell ref="N2:P2"/>
    <mergeCell ref="N33:P37"/>
    <mergeCell ref="B2:I2"/>
    <mergeCell ref="B38:E38"/>
    <mergeCell ref="F38:I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72"/>
  <sheetViews>
    <sheetView tabSelected="1" zoomScale="70" zoomScaleNormal="70" workbookViewId="0">
      <selection activeCell="M16" sqref="M16"/>
    </sheetView>
  </sheetViews>
  <sheetFormatPr baseColWidth="10" defaultRowHeight="14.4" x14ac:dyDescent="0.3"/>
  <cols>
    <col min="1" max="1" width="6.5546875" customWidth="1"/>
    <col min="2" max="2" width="13.88671875" customWidth="1"/>
    <col min="3" max="3" width="22.5546875" customWidth="1"/>
    <col min="4" max="4" width="15.88671875" bestFit="1" customWidth="1"/>
    <col min="5" max="5" width="22" bestFit="1" customWidth="1"/>
    <col min="6" max="6" width="20.109375" bestFit="1" customWidth="1"/>
    <col min="9" max="9" width="16.109375" bestFit="1" customWidth="1"/>
    <col min="10" max="10" width="12.33203125" customWidth="1"/>
    <col min="11" max="11" width="12.88671875" bestFit="1" customWidth="1"/>
    <col min="12" max="12" width="9.44140625" bestFit="1" customWidth="1"/>
    <col min="14" max="14" width="22" bestFit="1" customWidth="1"/>
    <col min="15" max="15" width="17.88671875" customWidth="1"/>
    <col min="16" max="16" width="20.6640625" bestFit="1" customWidth="1"/>
    <col min="17" max="17" width="18.6640625" customWidth="1"/>
    <col min="18" max="18" width="3.5546875" customWidth="1"/>
    <col min="20" max="20" width="13" customWidth="1"/>
    <col min="22" max="22" width="15.5546875" customWidth="1"/>
  </cols>
  <sheetData>
    <row r="1" spans="2:22" ht="15" thickBot="1" x14ac:dyDescent="0.35"/>
    <row r="2" spans="2:22" ht="15" thickBot="1" x14ac:dyDescent="0.35">
      <c r="B2" s="171" t="s">
        <v>32</v>
      </c>
      <c r="C2" s="172"/>
      <c r="D2" s="172"/>
      <c r="E2" s="172"/>
      <c r="F2" s="173"/>
      <c r="I2" s="180" t="s">
        <v>64</v>
      </c>
      <c r="J2" s="181"/>
      <c r="K2" s="181"/>
      <c r="L2" s="182"/>
    </row>
    <row r="3" spans="2:22" ht="15" thickBot="1" x14ac:dyDescent="0.35">
      <c r="B3" s="174"/>
      <c r="C3" s="175"/>
      <c r="D3" s="175"/>
      <c r="E3" s="175"/>
      <c r="F3" s="176"/>
      <c r="I3" s="183"/>
      <c r="J3" s="184"/>
      <c r="K3" s="184"/>
      <c r="L3" s="185"/>
      <c r="N3" s="99" t="s">
        <v>29</v>
      </c>
      <c r="O3" s="100"/>
      <c r="P3" s="101"/>
    </row>
    <row r="4" spans="2:22" ht="15" thickBot="1" x14ac:dyDescent="0.35">
      <c r="B4" s="177"/>
      <c r="C4" s="178"/>
      <c r="D4" s="178"/>
      <c r="E4" s="178"/>
      <c r="F4" s="179"/>
      <c r="I4" s="141" t="s">
        <v>2</v>
      </c>
      <c r="J4" s="142"/>
      <c r="K4" s="139">
        <v>120</v>
      </c>
      <c r="L4" s="140"/>
      <c r="N4" s="102"/>
      <c r="O4" s="103"/>
      <c r="P4" s="104"/>
    </row>
    <row r="5" spans="2:22" ht="15" thickBot="1" x14ac:dyDescent="0.35">
      <c r="B5" s="74" t="s">
        <v>34</v>
      </c>
      <c r="C5" s="75" t="s">
        <v>40</v>
      </c>
      <c r="D5" s="75" t="s">
        <v>35</v>
      </c>
      <c r="E5" s="75" t="s">
        <v>36</v>
      </c>
      <c r="F5" s="76" t="s">
        <v>37</v>
      </c>
      <c r="I5" s="141" t="s">
        <v>3</v>
      </c>
      <c r="J5" s="142"/>
      <c r="K5" s="121">
        <v>120</v>
      </c>
      <c r="L5" s="122"/>
      <c r="N5" s="102"/>
      <c r="O5" s="103"/>
      <c r="P5" s="104"/>
    </row>
    <row r="6" spans="2:22" ht="15" thickBot="1" x14ac:dyDescent="0.35">
      <c r="B6" s="63" t="s">
        <v>47</v>
      </c>
      <c r="C6" s="23" t="s">
        <v>48</v>
      </c>
      <c r="D6" s="23" t="s">
        <v>47</v>
      </c>
      <c r="E6" s="32">
        <v>220</v>
      </c>
      <c r="F6" s="64">
        <f>E6/6</f>
        <v>36.666666666666664</v>
      </c>
      <c r="I6" s="141" t="s">
        <v>65</v>
      </c>
      <c r="J6" s="142"/>
      <c r="K6" s="127">
        <v>620</v>
      </c>
      <c r="L6" s="128"/>
      <c r="N6" s="102"/>
      <c r="O6" s="103"/>
      <c r="P6" s="104"/>
    </row>
    <row r="7" spans="2:22" ht="15" thickBot="1" x14ac:dyDescent="0.35">
      <c r="B7" s="65" t="s">
        <v>47</v>
      </c>
      <c r="C7" s="17" t="s">
        <v>86</v>
      </c>
      <c r="D7" s="17" t="s">
        <v>47</v>
      </c>
      <c r="E7" s="33">
        <v>660</v>
      </c>
      <c r="F7" s="64">
        <f>E7/6</f>
        <v>110</v>
      </c>
      <c r="I7" s="27" t="s">
        <v>54</v>
      </c>
      <c r="J7" s="27" t="s">
        <v>55</v>
      </c>
      <c r="K7" s="27" t="s">
        <v>56</v>
      </c>
      <c r="L7" s="27" t="s">
        <v>57</v>
      </c>
      <c r="N7" s="105"/>
      <c r="O7" s="106"/>
      <c r="P7" s="107"/>
    </row>
    <row r="8" spans="2:22" ht="15" thickBot="1" x14ac:dyDescent="0.35">
      <c r="B8" s="66" t="s">
        <v>47</v>
      </c>
      <c r="C8" s="18" t="s">
        <v>67</v>
      </c>
      <c r="D8" s="18" t="s">
        <v>68</v>
      </c>
      <c r="E8" s="34">
        <v>350</v>
      </c>
      <c r="F8" s="64">
        <f t="shared" ref="F8:F44" si="0">E8/6</f>
        <v>58.333333333333336</v>
      </c>
      <c r="I8" s="24" t="s">
        <v>41</v>
      </c>
      <c r="J8" s="29">
        <f>((K4)+(K5*2))/100</f>
        <v>3.6</v>
      </c>
      <c r="K8" s="11">
        <f>((1100/6)*J8)</f>
        <v>660</v>
      </c>
      <c r="L8" s="22">
        <f>((J8*100)/600)</f>
        <v>0.6</v>
      </c>
    </row>
    <row r="9" spans="2:22" ht="23.25" customHeight="1" x14ac:dyDescent="0.3">
      <c r="B9" s="65" t="s">
        <v>47</v>
      </c>
      <c r="C9" s="17" t="s">
        <v>67</v>
      </c>
      <c r="D9" s="17" t="s">
        <v>69</v>
      </c>
      <c r="E9" s="33">
        <v>538</v>
      </c>
      <c r="F9" s="64">
        <f t="shared" si="0"/>
        <v>89.666666666666671</v>
      </c>
      <c r="I9" s="25" t="s">
        <v>58</v>
      </c>
      <c r="J9" s="30">
        <f>K4/100</f>
        <v>1.2</v>
      </c>
      <c r="K9" s="2">
        <f>((850/6)*J9)</f>
        <v>169.99999999999997</v>
      </c>
      <c r="L9" s="22">
        <f t="shared" ref="L9:L12" si="1">((J9*100)/600)</f>
        <v>0.2</v>
      </c>
      <c r="N9" s="188" t="s">
        <v>82</v>
      </c>
      <c r="O9" s="189"/>
      <c r="P9" s="189"/>
      <c r="Q9" s="189"/>
      <c r="R9" s="189"/>
      <c r="S9" s="189"/>
      <c r="T9" s="189"/>
      <c r="U9" s="189"/>
      <c r="V9" s="190"/>
    </row>
    <row r="10" spans="2:22" ht="15" customHeight="1" thickBot="1" x14ac:dyDescent="0.35">
      <c r="B10" s="66" t="s">
        <v>47</v>
      </c>
      <c r="C10" s="37" t="s">
        <v>74</v>
      </c>
      <c r="D10" s="18" t="s">
        <v>68</v>
      </c>
      <c r="E10" s="35">
        <v>300</v>
      </c>
      <c r="F10" s="64">
        <f t="shared" si="0"/>
        <v>50</v>
      </c>
      <c r="I10" s="25" t="s">
        <v>59</v>
      </c>
      <c r="J10" s="30">
        <f>(K4*2)/100</f>
        <v>2.4</v>
      </c>
      <c r="K10" s="2">
        <f>((850/6)*J10)</f>
        <v>339.99999999999994</v>
      </c>
      <c r="L10" s="22">
        <f t="shared" si="1"/>
        <v>0.4</v>
      </c>
      <c r="N10" s="191"/>
      <c r="O10" s="192"/>
      <c r="P10" s="192"/>
      <c r="Q10" s="192"/>
      <c r="R10" s="192"/>
      <c r="S10" s="192"/>
      <c r="T10" s="192"/>
      <c r="U10" s="192"/>
      <c r="V10" s="193"/>
    </row>
    <row r="11" spans="2:22" ht="15" customHeight="1" x14ac:dyDescent="0.3">
      <c r="B11" s="65" t="s">
        <v>47</v>
      </c>
      <c r="C11" s="17" t="s">
        <v>91</v>
      </c>
      <c r="D11" s="17" t="s">
        <v>92</v>
      </c>
      <c r="E11" s="2">
        <v>380</v>
      </c>
      <c r="F11" s="64">
        <f t="shared" si="0"/>
        <v>63.333333333333336</v>
      </c>
      <c r="I11" s="25" t="s">
        <v>43</v>
      </c>
      <c r="J11" s="30">
        <f>(K5*2)/100</f>
        <v>2.4</v>
      </c>
      <c r="K11" s="2">
        <f>((850/6)*J11)</f>
        <v>339.99999999999994</v>
      </c>
      <c r="L11" s="22">
        <f t="shared" si="1"/>
        <v>0.4</v>
      </c>
      <c r="N11" s="202" t="s">
        <v>83</v>
      </c>
      <c r="O11" s="203"/>
      <c r="P11" s="194">
        <v>150</v>
      </c>
      <c r="Q11" s="195"/>
      <c r="R11" s="62"/>
      <c r="S11" s="60"/>
      <c r="T11" s="60"/>
      <c r="U11" s="60"/>
      <c r="V11" s="61"/>
    </row>
    <row r="12" spans="2:22" ht="24" customHeight="1" thickBot="1" x14ac:dyDescent="0.35">
      <c r="B12" s="66" t="s">
        <v>47</v>
      </c>
      <c r="C12" s="18" t="s">
        <v>93</v>
      </c>
      <c r="D12" s="17" t="s">
        <v>92</v>
      </c>
      <c r="E12" s="35">
        <v>550</v>
      </c>
      <c r="F12" s="64">
        <f t="shared" si="0"/>
        <v>91.666666666666671</v>
      </c>
      <c r="I12" s="25" t="s">
        <v>44</v>
      </c>
      <c r="J12" s="30">
        <f>(K5*2)/100</f>
        <v>2.4</v>
      </c>
      <c r="K12" s="2">
        <f>((850/6)*J12)</f>
        <v>339.99999999999994</v>
      </c>
      <c r="L12" s="22">
        <f t="shared" si="1"/>
        <v>0.4</v>
      </c>
      <c r="N12" s="204"/>
      <c r="O12" s="205"/>
      <c r="P12" s="196"/>
      <c r="Q12" s="197"/>
      <c r="R12" s="62"/>
      <c r="S12" s="60"/>
      <c r="T12" s="60"/>
      <c r="U12" s="60"/>
      <c r="V12" s="61"/>
    </row>
    <row r="13" spans="2:22" ht="15" customHeight="1" x14ac:dyDescent="0.3">
      <c r="B13" s="65" t="s">
        <v>47</v>
      </c>
      <c r="C13" s="17" t="s">
        <v>75</v>
      </c>
      <c r="D13" s="17"/>
      <c r="E13" s="2"/>
      <c r="F13" s="64">
        <f t="shared" si="0"/>
        <v>0</v>
      </c>
      <c r="I13" s="25" t="s">
        <v>60</v>
      </c>
      <c r="J13" s="30">
        <f>(K4*K5)/10000</f>
        <v>1.44</v>
      </c>
      <c r="K13" s="2">
        <f>J13*K6</f>
        <v>892.8</v>
      </c>
      <c r="L13" s="40">
        <f>(J13/4.68)</f>
        <v>0.30769230769230771</v>
      </c>
      <c r="N13" s="202" t="s">
        <v>84</v>
      </c>
      <c r="O13" s="203"/>
      <c r="P13" s="198">
        <v>130</v>
      </c>
      <c r="Q13" s="199"/>
      <c r="R13" s="62"/>
      <c r="S13" s="60"/>
      <c r="T13" s="60"/>
      <c r="U13" s="60"/>
      <c r="V13" s="61"/>
    </row>
    <row r="14" spans="2:22" ht="21.6" thickBot="1" x14ac:dyDescent="0.35">
      <c r="B14" s="66"/>
      <c r="C14" s="39"/>
      <c r="D14" s="18"/>
      <c r="E14" s="35"/>
      <c r="F14" s="64">
        <f t="shared" si="0"/>
        <v>0</v>
      </c>
      <c r="I14" s="25" t="s">
        <v>61</v>
      </c>
      <c r="J14" s="30">
        <f>((K4*2)+(K5*2))/100</f>
        <v>4.8</v>
      </c>
      <c r="K14" s="2">
        <f>(550/6)*J14</f>
        <v>440</v>
      </c>
      <c r="L14" s="40">
        <f>(J14*100)/600</f>
        <v>0.8</v>
      </c>
      <c r="N14" s="204"/>
      <c r="O14" s="205"/>
      <c r="P14" s="200"/>
      <c r="Q14" s="201"/>
      <c r="R14" s="62"/>
      <c r="S14" s="60"/>
      <c r="T14" s="60"/>
      <c r="U14" s="60"/>
      <c r="V14" s="61"/>
    </row>
    <row r="15" spans="2:22" ht="18" x14ac:dyDescent="0.3">
      <c r="B15" s="65" t="s">
        <v>38</v>
      </c>
      <c r="C15" s="38" t="s">
        <v>46</v>
      </c>
      <c r="D15" s="17"/>
      <c r="E15" s="2"/>
      <c r="F15" s="64">
        <f t="shared" si="0"/>
        <v>0</v>
      </c>
      <c r="I15" s="25" t="s">
        <v>62</v>
      </c>
      <c r="J15" s="30">
        <v>0</v>
      </c>
      <c r="K15" s="2">
        <v>350</v>
      </c>
      <c r="L15" s="40"/>
      <c r="N15" s="186" t="s">
        <v>41</v>
      </c>
      <c r="O15" s="239" t="s">
        <v>42</v>
      </c>
      <c r="P15" s="241" t="s">
        <v>59</v>
      </c>
      <c r="Q15" s="242" t="s">
        <v>81</v>
      </c>
      <c r="R15" s="57"/>
      <c r="S15" s="223" t="s">
        <v>87</v>
      </c>
      <c r="T15" s="211"/>
      <c r="U15" s="210" t="s">
        <v>88</v>
      </c>
      <c r="V15" s="211"/>
    </row>
    <row r="16" spans="2:22" ht="18.600000000000001" thickBot="1" x14ac:dyDescent="0.35">
      <c r="B16" s="66" t="s">
        <v>38</v>
      </c>
      <c r="C16" s="37" t="s">
        <v>70</v>
      </c>
      <c r="D16" s="18"/>
      <c r="E16" s="35"/>
      <c r="F16" s="64">
        <f t="shared" si="0"/>
        <v>0</v>
      </c>
      <c r="I16" s="26" t="s">
        <v>63</v>
      </c>
      <c r="J16" s="31"/>
      <c r="K16" s="21">
        <v>1200</v>
      </c>
      <c r="L16" s="41"/>
      <c r="N16" s="187"/>
      <c r="O16" s="240"/>
      <c r="P16" s="240"/>
      <c r="Q16" s="243"/>
      <c r="R16" s="57"/>
      <c r="S16" s="224"/>
      <c r="T16" s="225"/>
      <c r="U16" s="212"/>
      <c r="V16" s="213"/>
    </row>
    <row r="17" spans="2:22" ht="24" thickBot="1" x14ac:dyDescent="0.35">
      <c r="B17" s="65" t="s">
        <v>38</v>
      </c>
      <c r="C17" s="17"/>
      <c r="D17" s="17"/>
      <c r="E17" s="2"/>
      <c r="F17" s="64">
        <f t="shared" si="0"/>
        <v>0</v>
      </c>
      <c r="N17" s="162">
        <f>P11</f>
        <v>150</v>
      </c>
      <c r="O17" s="165">
        <f>P11</f>
        <v>150</v>
      </c>
      <c r="P17" s="165">
        <f>(P11-18.5)/2</f>
        <v>65.75</v>
      </c>
      <c r="Q17" s="168">
        <f>N19-0.9</f>
        <v>126.39999999999999</v>
      </c>
      <c r="R17" s="58"/>
      <c r="S17" s="214">
        <f>P13-2.2</f>
        <v>127.8</v>
      </c>
      <c r="T17" s="215"/>
      <c r="U17" s="220">
        <f>(P11/2)-1</f>
        <v>74</v>
      </c>
      <c r="V17" s="215"/>
    </row>
    <row r="18" spans="2:22" ht="24" thickBot="1" x14ac:dyDescent="0.35">
      <c r="B18" s="66" t="s">
        <v>38</v>
      </c>
      <c r="C18" s="18"/>
      <c r="D18" s="18"/>
      <c r="E18" s="35"/>
      <c r="F18" s="64">
        <f t="shared" si="0"/>
        <v>0</v>
      </c>
      <c r="I18" s="143" t="s">
        <v>66</v>
      </c>
      <c r="J18" s="144"/>
      <c r="K18" s="145">
        <v>1</v>
      </c>
      <c r="L18" s="146"/>
      <c r="N18" s="163"/>
      <c r="O18" s="166"/>
      <c r="P18" s="166"/>
      <c r="Q18" s="169"/>
      <c r="R18" s="58"/>
      <c r="S18" s="216"/>
      <c r="T18" s="217"/>
      <c r="U18" s="221"/>
      <c r="V18" s="217"/>
    </row>
    <row r="19" spans="2:22" ht="18.75" customHeight="1" thickBot="1" x14ac:dyDescent="0.35">
      <c r="B19" s="65" t="s">
        <v>38</v>
      </c>
      <c r="C19" s="17"/>
      <c r="D19" s="17"/>
      <c r="E19" s="2"/>
      <c r="F19" s="64">
        <f t="shared" si="0"/>
        <v>0</v>
      </c>
      <c r="I19" s="147" t="s">
        <v>5</v>
      </c>
      <c r="J19" s="148"/>
      <c r="K19" s="149">
        <f>SUM(K8:K16)*K18</f>
        <v>4732.8</v>
      </c>
      <c r="L19" s="150"/>
      <c r="N19" s="162">
        <f>P13-2.7</f>
        <v>127.3</v>
      </c>
      <c r="O19" s="166"/>
      <c r="P19" s="166"/>
      <c r="Q19" s="169"/>
      <c r="R19" s="58"/>
      <c r="S19" s="216"/>
      <c r="T19" s="217"/>
      <c r="U19" s="221"/>
      <c r="V19" s="217"/>
    </row>
    <row r="20" spans="2:22" ht="15.75" customHeight="1" thickBot="1" x14ac:dyDescent="0.35">
      <c r="B20" s="66" t="s">
        <v>38</v>
      </c>
      <c r="C20" s="18"/>
      <c r="D20" s="18"/>
      <c r="E20" s="35"/>
      <c r="F20" s="64">
        <f t="shared" si="0"/>
        <v>0</v>
      </c>
      <c r="N20" s="164"/>
      <c r="O20" s="167"/>
      <c r="P20" s="167"/>
      <c r="Q20" s="170"/>
      <c r="R20" s="59"/>
      <c r="S20" s="218"/>
      <c r="T20" s="219"/>
      <c r="U20" s="222"/>
      <c r="V20" s="219"/>
    </row>
    <row r="21" spans="2:22" ht="21.75" customHeight="1" thickBot="1" x14ac:dyDescent="0.35">
      <c r="B21" s="65" t="s">
        <v>38</v>
      </c>
      <c r="C21" s="17"/>
      <c r="D21" s="17"/>
      <c r="E21" s="2"/>
      <c r="F21" s="64">
        <f t="shared" si="0"/>
        <v>0</v>
      </c>
    </row>
    <row r="22" spans="2:22" ht="21.75" customHeight="1" thickBot="1" x14ac:dyDescent="0.35">
      <c r="B22" s="66" t="s">
        <v>39</v>
      </c>
      <c r="C22" s="18" t="s">
        <v>41</v>
      </c>
      <c r="D22" s="18"/>
      <c r="E22" s="35"/>
      <c r="F22" s="64">
        <f t="shared" si="0"/>
        <v>0</v>
      </c>
      <c r="N22" s="156" t="s">
        <v>85</v>
      </c>
      <c r="O22" s="157"/>
      <c r="P22" s="157"/>
      <c r="Q22" s="158"/>
      <c r="R22" s="56"/>
    </row>
    <row r="23" spans="2:22" ht="15" thickBot="1" x14ac:dyDescent="0.35">
      <c r="B23" s="65" t="s">
        <v>39</v>
      </c>
      <c r="C23" s="17" t="s">
        <v>42</v>
      </c>
      <c r="D23" s="17"/>
      <c r="E23" s="2"/>
      <c r="F23" s="64">
        <f t="shared" si="0"/>
        <v>0</v>
      </c>
      <c r="I23" s="180" t="s">
        <v>76</v>
      </c>
      <c r="J23" s="181"/>
      <c r="K23" s="181"/>
      <c r="L23" s="182"/>
      <c r="N23" s="159"/>
      <c r="O23" s="160"/>
      <c r="P23" s="160"/>
      <c r="Q23" s="161"/>
      <c r="R23" s="56"/>
    </row>
    <row r="24" spans="2:22" ht="21.75" customHeight="1" thickBot="1" x14ac:dyDescent="0.35">
      <c r="B24" s="66" t="s">
        <v>39</v>
      </c>
      <c r="C24" s="18" t="s">
        <v>43</v>
      </c>
      <c r="D24" s="18"/>
      <c r="E24" s="35"/>
      <c r="F24" s="64">
        <f t="shared" si="0"/>
        <v>0</v>
      </c>
      <c r="I24" s="183"/>
      <c r="J24" s="184"/>
      <c r="K24" s="184"/>
      <c r="L24" s="185"/>
    </row>
    <row r="25" spans="2:22" ht="15" thickBot="1" x14ac:dyDescent="0.35">
      <c r="B25" s="65" t="s">
        <v>39</v>
      </c>
      <c r="C25" s="17" t="s">
        <v>44</v>
      </c>
      <c r="D25" s="17"/>
      <c r="E25" s="2"/>
      <c r="F25" s="64">
        <f t="shared" si="0"/>
        <v>0</v>
      </c>
      <c r="I25" s="141" t="s">
        <v>2</v>
      </c>
      <c r="J25" s="142"/>
      <c r="K25" s="121">
        <f>K4</f>
        <v>120</v>
      </c>
      <c r="L25" s="122"/>
    </row>
    <row r="26" spans="2:22" ht="15" thickBot="1" x14ac:dyDescent="0.35">
      <c r="B26" s="66" t="s">
        <v>39</v>
      </c>
      <c r="C26" s="18" t="s">
        <v>45</v>
      </c>
      <c r="D26" s="18"/>
      <c r="E26" s="35"/>
      <c r="F26" s="64">
        <f t="shared" si="0"/>
        <v>0</v>
      </c>
      <c r="I26" s="141" t="s">
        <v>3</v>
      </c>
      <c r="J26" s="142"/>
      <c r="K26" s="127">
        <f>K5</f>
        <v>120</v>
      </c>
      <c r="L26" s="128"/>
    </row>
    <row r="27" spans="2:22" ht="21.6" thickBot="1" x14ac:dyDescent="0.35">
      <c r="B27" s="66"/>
      <c r="C27" s="18"/>
      <c r="D27" s="18"/>
      <c r="E27" s="35"/>
      <c r="F27" s="64"/>
      <c r="I27" s="141" t="s">
        <v>103</v>
      </c>
      <c r="J27" s="142"/>
      <c r="K27" s="119">
        <v>6</v>
      </c>
      <c r="L27" s="120"/>
      <c r="N27" s="151" t="s">
        <v>101</v>
      </c>
      <c r="O27" s="152"/>
      <c r="P27" s="152"/>
      <c r="Q27" s="153"/>
    </row>
    <row r="28" spans="2:22" ht="24" thickBot="1" x14ac:dyDescent="0.35">
      <c r="B28" s="66"/>
      <c r="C28" s="18"/>
      <c r="D28" s="18"/>
      <c r="E28" s="35"/>
      <c r="F28" s="64"/>
      <c r="I28" s="141" t="s">
        <v>104</v>
      </c>
      <c r="J28" s="142"/>
      <c r="K28" s="121">
        <v>4</v>
      </c>
      <c r="L28" s="122"/>
      <c r="N28" s="81" t="s">
        <v>83</v>
      </c>
      <c r="O28" s="80">
        <f>K25</f>
        <v>120</v>
      </c>
      <c r="P28" s="81" t="s">
        <v>84</v>
      </c>
      <c r="Q28" s="80">
        <f>K26</f>
        <v>120</v>
      </c>
    </row>
    <row r="29" spans="2:22" ht="16.2" thickBot="1" x14ac:dyDescent="0.35">
      <c r="B29" s="65" t="s">
        <v>39</v>
      </c>
      <c r="C29" s="17" t="s">
        <v>46</v>
      </c>
      <c r="D29" s="17"/>
      <c r="E29" s="2"/>
      <c r="F29" s="64">
        <f t="shared" si="0"/>
        <v>0</v>
      </c>
      <c r="I29" s="141" t="s">
        <v>65</v>
      </c>
      <c r="J29" s="142"/>
      <c r="K29" s="127">
        <f>K6</f>
        <v>620</v>
      </c>
      <c r="L29" s="128"/>
      <c r="N29" s="154" t="s">
        <v>102</v>
      </c>
      <c r="O29" s="155"/>
      <c r="P29" s="154" t="s">
        <v>102</v>
      </c>
      <c r="Q29" s="155"/>
    </row>
    <row r="30" spans="2:22" ht="18.600000000000001" thickBot="1" x14ac:dyDescent="0.35">
      <c r="B30" s="66" t="s">
        <v>39</v>
      </c>
      <c r="C30" s="18" t="s">
        <v>70</v>
      </c>
      <c r="D30" s="18" t="s">
        <v>68</v>
      </c>
      <c r="E30" s="35">
        <v>240</v>
      </c>
      <c r="F30" s="64">
        <f t="shared" si="0"/>
        <v>40</v>
      </c>
      <c r="I30" s="27" t="s">
        <v>54</v>
      </c>
      <c r="J30" s="27" t="s">
        <v>55</v>
      </c>
      <c r="K30" s="27" t="s">
        <v>56</v>
      </c>
      <c r="L30" s="27" t="s">
        <v>57</v>
      </c>
      <c r="N30" s="85" t="s">
        <v>110</v>
      </c>
      <c r="O30" s="82">
        <f>(((O28-18.5)/2)/2)-1.7</f>
        <v>23.675000000000001</v>
      </c>
      <c r="P30" s="85" t="s">
        <v>107</v>
      </c>
      <c r="Q30" s="82">
        <f>((Q28-15.5)/2)-1.7</f>
        <v>50.55</v>
      </c>
    </row>
    <row r="31" spans="2:22" ht="18" x14ac:dyDescent="0.3">
      <c r="B31" s="65" t="s">
        <v>39</v>
      </c>
      <c r="C31" s="17"/>
      <c r="D31" s="17"/>
      <c r="E31" s="2"/>
      <c r="F31" s="64">
        <f t="shared" si="0"/>
        <v>0</v>
      </c>
      <c r="I31" s="24" t="s">
        <v>41</v>
      </c>
      <c r="J31" s="29">
        <f>((K25)+(K26*2))/100</f>
        <v>3.6</v>
      </c>
      <c r="K31" s="11">
        <f>((850/6)*J31)</f>
        <v>510</v>
      </c>
      <c r="L31" s="22">
        <f>((J31*100)/600)</f>
        <v>0.6</v>
      </c>
      <c r="N31" s="86" t="s">
        <v>111</v>
      </c>
      <c r="O31" s="83">
        <f>(((O28-18.5)/2)/3)-1.7</f>
        <v>15.216666666666669</v>
      </c>
      <c r="P31" s="86" t="s">
        <v>108</v>
      </c>
      <c r="Q31" s="82">
        <f>((Q28-15.5)/3)-1.7</f>
        <v>33.133333333333333</v>
      </c>
    </row>
    <row r="32" spans="2:22" ht="18" x14ac:dyDescent="0.35">
      <c r="B32" s="66" t="s">
        <v>39</v>
      </c>
      <c r="C32" s="18"/>
      <c r="D32" s="18"/>
      <c r="E32" s="35"/>
      <c r="F32" s="64">
        <f t="shared" si="0"/>
        <v>0</v>
      </c>
      <c r="I32" s="25" t="s">
        <v>58</v>
      </c>
      <c r="J32" s="30">
        <f>K25/100</f>
        <v>1.2</v>
      </c>
      <c r="K32" s="2">
        <f>((690/6)*J32)</f>
        <v>138</v>
      </c>
      <c r="L32" s="22">
        <f t="shared" ref="L32:L35" si="2">((J32*100)/600)</f>
        <v>0.2</v>
      </c>
      <c r="N32" s="87" t="s">
        <v>112</v>
      </c>
      <c r="O32" s="83">
        <f>(((O28-18.5)/2)/4)-1.7</f>
        <v>10.987500000000001</v>
      </c>
      <c r="P32" s="87" t="s">
        <v>106</v>
      </c>
      <c r="Q32" s="82">
        <f>((Q28-15.5)/4)-1.7</f>
        <v>24.425000000000001</v>
      </c>
    </row>
    <row r="33" spans="2:17" ht="18.600000000000001" thickBot="1" x14ac:dyDescent="0.4">
      <c r="B33" s="65" t="s">
        <v>39</v>
      </c>
      <c r="C33" s="17"/>
      <c r="D33" s="17"/>
      <c r="E33" s="2"/>
      <c r="F33" s="64">
        <f t="shared" si="0"/>
        <v>0</v>
      </c>
      <c r="I33" s="25" t="s">
        <v>59</v>
      </c>
      <c r="J33" s="30">
        <f>(K25*2)/100</f>
        <v>2.4</v>
      </c>
      <c r="K33" s="2">
        <f>((510/6)*J33)</f>
        <v>204</v>
      </c>
      <c r="L33" s="22">
        <f>((J33*100)/600)</f>
        <v>0.4</v>
      </c>
      <c r="N33" s="88" t="s">
        <v>113</v>
      </c>
      <c r="O33" s="84">
        <f>(((O28-18.5)/2)/5)-1.7</f>
        <v>8.4500000000000011</v>
      </c>
      <c r="P33" s="88" t="s">
        <v>109</v>
      </c>
      <c r="Q33" s="82">
        <f>((Q28-15.5)/5)-1.7</f>
        <v>19.2</v>
      </c>
    </row>
    <row r="34" spans="2:17" ht="18.600000000000001" thickBot="1" x14ac:dyDescent="0.4">
      <c r="B34" s="66" t="s">
        <v>39</v>
      </c>
      <c r="C34" s="18"/>
      <c r="D34" s="18"/>
      <c r="E34" s="35"/>
      <c r="F34" s="64">
        <f t="shared" si="0"/>
        <v>0</v>
      </c>
      <c r="I34" s="25" t="s">
        <v>43</v>
      </c>
      <c r="J34" s="30">
        <f>(K26*2)/100</f>
        <v>2.4</v>
      </c>
      <c r="K34" s="2">
        <f>((620/6)*J34)</f>
        <v>247.99999999999997</v>
      </c>
      <c r="L34" s="22">
        <f t="shared" si="2"/>
        <v>0.4</v>
      </c>
      <c r="N34" s="90"/>
      <c r="O34" s="91"/>
      <c r="P34" s="88" t="s">
        <v>105</v>
      </c>
      <c r="Q34" s="89">
        <f>((Q28-15.5)/6)-1.7</f>
        <v>15.716666666666669</v>
      </c>
    </row>
    <row r="35" spans="2:17" x14ac:dyDescent="0.3">
      <c r="B35" s="65" t="s">
        <v>39</v>
      </c>
      <c r="C35" s="17"/>
      <c r="D35" s="17"/>
      <c r="E35" s="2"/>
      <c r="F35" s="64">
        <f t="shared" si="0"/>
        <v>0</v>
      </c>
      <c r="I35" s="25" t="s">
        <v>44</v>
      </c>
      <c r="J35" s="30">
        <f>(K26*2)/100</f>
        <v>2.4</v>
      </c>
      <c r="K35" s="2">
        <f>((620/6)*J35)</f>
        <v>247.99999999999997</v>
      </c>
      <c r="L35" s="22">
        <f t="shared" si="2"/>
        <v>0.4</v>
      </c>
    </row>
    <row r="36" spans="2:17" ht="15" thickBot="1" x14ac:dyDescent="0.35">
      <c r="B36" s="65"/>
      <c r="C36" s="17"/>
      <c r="D36" s="17"/>
      <c r="E36" s="2"/>
      <c r="F36" s="64"/>
      <c r="I36" s="25" t="s">
        <v>100</v>
      </c>
      <c r="J36" s="30">
        <f>(((K27-2)*K25)+((K28-1)*K26))/100</f>
        <v>8.4</v>
      </c>
      <c r="K36" s="2">
        <f>J36*36</f>
        <v>302.40000000000003</v>
      </c>
      <c r="L36" s="22">
        <f>((J36*100)/600)</f>
        <v>1.4</v>
      </c>
    </row>
    <row r="37" spans="2:17" x14ac:dyDescent="0.3">
      <c r="B37" s="65"/>
      <c r="C37" s="17"/>
      <c r="D37" s="17"/>
      <c r="E37" s="2"/>
      <c r="F37" s="64"/>
      <c r="I37" s="25" t="s">
        <v>77</v>
      </c>
      <c r="J37" s="30">
        <f>((((K25)*2)*K28)/100)+((((K26)*2)*K27)/100)</f>
        <v>24</v>
      </c>
      <c r="K37" s="2">
        <f>((280/6)*J37)</f>
        <v>1120</v>
      </c>
      <c r="L37" s="22">
        <f>(J37/6)</f>
        <v>4</v>
      </c>
      <c r="N37" s="180" t="s">
        <v>89</v>
      </c>
      <c r="O37" s="181"/>
      <c r="P37" s="181"/>
      <c r="Q37" s="182"/>
    </row>
    <row r="38" spans="2:17" ht="15" thickBot="1" x14ac:dyDescent="0.35">
      <c r="B38" s="66" t="s">
        <v>39</v>
      </c>
      <c r="C38" s="18"/>
      <c r="D38" s="18"/>
      <c r="E38" s="35"/>
      <c r="F38" s="64">
        <f t="shared" si="0"/>
        <v>0</v>
      </c>
      <c r="I38" s="25" t="s">
        <v>60</v>
      </c>
      <c r="J38" s="30">
        <f>(K25*K26)/10000</f>
        <v>1.44</v>
      </c>
      <c r="K38" s="2">
        <f>J38*K29</f>
        <v>892.8</v>
      </c>
      <c r="L38" s="40">
        <f>(J38/4.68)</f>
        <v>0.30769230769230771</v>
      </c>
      <c r="N38" s="183"/>
      <c r="O38" s="184"/>
      <c r="P38" s="184"/>
      <c r="Q38" s="185"/>
    </row>
    <row r="39" spans="2:17" ht="18.75" customHeight="1" thickBot="1" x14ac:dyDescent="0.35">
      <c r="B39" s="66"/>
      <c r="C39" s="18"/>
      <c r="D39" s="18"/>
      <c r="E39" s="35"/>
      <c r="F39" s="64"/>
      <c r="I39" s="25" t="s">
        <v>78</v>
      </c>
      <c r="J39" s="30">
        <f>((((K25-18.5)*2)*K28)/100)+((((K26-15.5)*2)*K27)/100)</f>
        <v>20.659999999999997</v>
      </c>
      <c r="K39" s="2">
        <f>J39*40</f>
        <v>826.39999999999986</v>
      </c>
      <c r="L39" s="40">
        <v>0</v>
      </c>
      <c r="N39" s="141" t="s">
        <v>2</v>
      </c>
      <c r="O39" s="142"/>
      <c r="P39" s="139">
        <f>K4</f>
        <v>120</v>
      </c>
      <c r="Q39" s="140"/>
    </row>
    <row r="40" spans="2:17" ht="20.25" customHeight="1" thickBot="1" x14ac:dyDescent="0.35">
      <c r="B40" s="65" t="s">
        <v>39</v>
      </c>
      <c r="C40" s="17"/>
      <c r="D40" s="17"/>
      <c r="E40" s="2"/>
      <c r="F40" s="64">
        <f t="shared" si="0"/>
        <v>0</v>
      </c>
      <c r="I40" s="25" t="s">
        <v>61</v>
      </c>
      <c r="J40" s="30">
        <f>((K25*2)+(K26*2))/100</f>
        <v>4.8</v>
      </c>
      <c r="K40" s="2">
        <f>(450/6)*J40</f>
        <v>360</v>
      </c>
      <c r="L40" s="40">
        <f>(J40*100)/600</f>
        <v>0.8</v>
      </c>
      <c r="N40" s="141" t="s">
        <v>3</v>
      </c>
      <c r="O40" s="142"/>
      <c r="P40" s="121">
        <f>K5</f>
        <v>120</v>
      </c>
      <c r="Q40" s="122"/>
    </row>
    <row r="41" spans="2:17" ht="22.5" customHeight="1" thickBot="1" x14ac:dyDescent="0.35">
      <c r="B41" s="66" t="s">
        <v>39</v>
      </c>
      <c r="C41" s="18"/>
      <c r="D41" s="18"/>
      <c r="E41" s="35"/>
      <c r="F41" s="64">
        <f t="shared" si="0"/>
        <v>0</v>
      </c>
      <c r="I41" s="25" t="s">
        <v>62</v>
      </c>
      <c r="J41" s="30">
        <v>0</v>
      </c>
      <c r="K41" s="2">
        <v>350</v>
      </c>
      <c r="L41" s="40">
        <v>0</v>
      </c>
      <c r="N41" s="141" t="s">
        <v>65</v>
      </c>
      <c r="O41" s="142"/>
      <c r="P41" s="127">
        <f>K29</f>
        <v>620</v>
      </c>
      <c r="Q41" s="128"/>
    </row>
    <row r="42" spans="2:17" ht="15" thickBot="1" x14ac:dyDescent="0.35">
      <c r="B42" s="65" t="s">
        <v>39</v>
      </c>
      <c r="C42" s="17"/>
      <c r="D42" s="17"/>
      <c r="E42" s="2"/>
      <c r="F42" s="64">
        <f t="shared" si="0"/>
        <v>0</v>
      </c>
      <c r="I42" s="26" t="s">
        <v>63</v>
      </c>
      <c r="J42" s="31"/>
      <c r="K42" s="21">
        <v>1200</v>
      </c>
      <c r="L42" s="41">
        <v>0</v>
      </c>
      <c r="N42" s="27" t="s">
        <v>54</v>
      </c>
      <c r="O42" s="27" t="s">
        <v>55</v>
      </c>
      <c r="P42" s="27" t="s">
        <v>56</v>
      </c>
      <c r="Q42" s="27" t="s">
        <v>57</v>
      </c>
    </row>
    <row r="43" spans="2:17" ht="15" thickBot="1" x14ac:dyDescent="0.35">
      <c r="B43" s="66" t="s">
        <v>39</v>
      </c>
      <c r="C43" s="18"/>
      <c r="D43" s="18"/>
      <c r="E43" s="35"/>
      <c r="F43" s="64">
        <f t="shared" si="0"/>
        <v>0</v>
      </c>
      <c r="N43" s="24" t="s">
        <v>41</v>
      </c>
      <c r="O43" s="29">
        <f>((P39)+(P40*2))/100</f>
        <v>3.6</v>
      </c>
      <c r="P43" s="11">
        <f>((1000/6)*O43)</f>
        <v>600</v>
      </c>
      <c r="Q43" s="22">
        <f>((O43*100)/600)</f>
        <v>0.6</v>
      </c>
    </row>
    <row r="44" spans="2:17" ht="16.2" thickBot="1" x14ac:dyDescent="0.35">
      <c r="B44" s="67" t="s">
        <v>39</v>
      </c>
      <c r="C44" s="68"/>
      <c r="D44" s="68"/>
      <c r="E44" s="69"/>
      <c r="F44" s="70">
        <f t="shared" si="0"/>
        <v>0</v>
      </c>
      <c r="I44" s="129" t="s">
        <v>66</v>
      </c>
      <c r="J44" s="130"/>
      <c r="K44" s="131">
        <v>1</v>
      </c>
      <c r="L44" s="132"/>
      <c r="N44" s="25" t="s">
        <v>58</v>
      </c>
      <c r="O44" s="30">
        <f>P39/100</f>
        <v>1.2</v>
      </c>
      <c r="P44" s="2">
        <f>((870/6)*O44)</f>
        <v>174</v>
      </c>
      <c r="Q44" s="22">
        <f t="shared" ref="Q44:Q47" si="3">((O44*100)/600)</f>
        <v>0.2</v>
      </c>
    </row>
    <row r="45" spans="2:17" ht="18" thickBot="1" x14ac:dyDescent="0.35">
      <c r="I45" s="123" t="s">
        <v>79</v>
      </c>
      <c r="J45" s="124"/>
      <c r="K45" s="125">
        <f>SUM(K31+K32+K33+K34+K35+K36+K37+K38+K40+K41+K42)*K44</f>
        <v>5573.2</v>
      </c>
      <c r="L45" s="126"/>
      <c r="N45" s="25" t="s">
        <v>59</v>
      </c>
      <c r="O45" s="30">
        <f>(P39*2)/100</f>
        <v>2.4</v>
      </c>
      <c r="P45" s="2">
        <f>((710/6)*O45)</f>
        <v>284</v>
      </c>
      <c r="Q45" s="22">
        <f t="shared" si="3"/>
        <v>0.4</v>
      </c>
    </row>
    <row r="46" spans="2:17" ht="18" thickBot="1" x14ac:dyDescent="0.35">
      <c r="I46" s="123" t="s">
        <v>80</v>
      </c>
      <c r="J46" s="124"/>
      <c r="K46" s="125">
        <f>SUM(K31:K42)*K44</f>
        <v>6399.5999999999995</v>
      </c>
      <c r="L46" s="126"/>
      <c r="N46" s="25" t="s">
        <v>43</v>
      </c>
      <c r="O46" s="30">
        <f>(P40*2)/100</f>
        <v>2.4</v>
      </c>
      <c r="P46" s="2">
        <f>((750/6)*O46)</f>
        <v>300</v>
      </c>
      <c r="Q46" s="22">
        <f t="shared" si="3"/>
        <v>0.4</v>
      </c>
    </row>
    <row r="47" spans="2:17" x14ac:dyDescent="0.3">
      <c r="N47" s="25" t="s">
        <v>44</v>
      </c>
      <c r="O47" s="30">
        <f>(P40*2)/100</f>
        <v>2.4</v>
      </c>
      <c r="P47" s="2">
        <f>((750/6)*O47)</f>
        <v>300</v>
      </c>
      <c r="Q47" s="22">
        <f t="shared" si="3"/>
        <v>0.4</v>
      </c>
    </row>
    <row r="48" spans="2:17" ht="15" thickBot="1" x14ac:dyDescent="0.35">
      <c r="N48" s="25" t="s">
        <v>60</v>
      </c>
      <c r="O48" s="30">
        <f>(P39*P40)/10000</f>
        <v>1.44</v>
      </c>
      <c r="P48" s="2">
        <f>O48*P41</f>
        <v>892.8</v>
      </c>
      <c r="Q48" s="40">
        <f>(O48/4.68)</f>
        <v>0.30769230769230771</v>
      </c>
    </row>
    <row r="49" spans="9:17" x14ac:dyDescent="0.3">
      <c r="I49" s="133" t="s">
        <v>90</v>
      </c>
      <c r="J49" s="134"/>
      <c r="K49" s="134"/>
      <c r="L49" s="135"/>
      <c r="N49" s="25" t="s">
        <v>61</v>
      </c>
      <c r="O49" s="30">
        <f>((P39*2)+(P40*2))/100</f>
        <v>4.8</v>
      </c>
      <c r="P49" s="2">
        <f>(600/6)*O49</f>
        <v>480</v>
      </c>
      <c r="Q49" s="40">
        <f>(O49*100)/600</f>
        <v>0.8</v>
      </c>
    </row>
    <row r="50" spans="9:17" ht="15" thickBot="1" x14ac:dyDescent="0.35">
      <c r="I50" s="136"/>
      <c r="J50" s="137"/>
      <c r="K50" s="137"/>
      <c r="L50" s="138"/>
      <c r="N50" s="25" t="s">
        <v>62</v>
      </c>
      <c r="O50" s="30">
        <v>0</v>
      </c>
      <c r="P50" s="2">
        <v>350</v>
      </c>
      <c r="Q50" s="40"/>
    </row>
    <row r="51" spans="9:17" ht="18.75" customHeight="1" thickBot="1" x14ac:dyDescent="0.35">
      <c r="I51" s="117" t="s">
        <v>2</v>
      </c>
      <c r="J51" s="118"/>
      <c r="K51" s="139">
        <f>K4</f>
        <v>120</v>
      </c>
      <c r="L51" s="140"/>
      <c r="N51" s="26" t="s">
        <v>63</v>
      </c>
      <c r="O51" s="31"/>
      <c r="P51" s="21">
        <v>1250</v>
      </c>
      <c r="Q51" s="41"/>
    </row>
    <row r="52" spans="9:17" ht="21" customHeight="1" thickBot="1" x14ac:dyDescent="0.35">
      <c r="I52" s="117" t="s">
        <v>3</v>
      </c>
      <c r="J52" s="118"/>
      <c r="K52" s="121">
        <f>K5</f>
        <v>120</v>
      </c>
      <c r="L52" s="122"/>
    </row>
    <row r="53" spans="9:17" ht="21.75" customHeight="1" thickBot="1" x14ac:dyDescent="0.35">
      <c r="I53" s="117" t="s">
        <v>114</v>
      </c>
      <c r="J53" s="118"/>
      <c r="K53" s="119">
        <f>K27</f>
        <v>6</v>
      </c>
      <c r="L53" s="120"/>
      <c r="N53" s="143" t="s">
        <v>66</v>
      </c>
      <c r="O53" s="144"/>
      <c r="P53" s="145">
        <v>1</v>
      </c>
      <c r="Q53" s="146"/>
    </row>
    <row r="54" spans="9:17" ht="18" thickBot="1" x14ac:dyDescent="0.35">
      <c r="I54" s="117" t="s">
        <v>115</v>
      </c>
      <c r="J54" s="118"/>
      <c r="K54" s="121">
        <f>K28</f>
        <v>4</v>
      </c>
      <c r="L54" s="122"/>
      <c r="N54" s="147" t="s">
        <v>5</v>
      </c>
      <c r="O54" s="148"/>
      <c r="P54" s="149">
        <f>SUM(P43:P51)</f>
        <v>4630.8</v>
      </c>
      <c r="Q54" s="150"/>
    </row>
    <row r="55" spans="9:17" ht="20.25" customHeight="1" thickBot="1" x14ac:dyDescent="0.35">
      <c r="I55" s="117" t="s">
        <v>65</v>
      </c>
      <c r="J55" s="118"/>
      <c r="K55" s="127">
        <f>K6</f>
        <v>620</v>
      </c>
      <c r="L55" s="128"/>
    </row>
    <row r="56" spans="9:17" ht="15" thickBot="1" x14ac:dyDescent="0.35">
      <c r="I56" s="27" t="s">
        <v>54</v>
      </c>
      <c r="J56" s="27" t="s">
        <v>55</v>
      </c>
      <c r="K56" s="27" t="s">
        <v>56</v>
      </c>
      <c r="L56" s="27" t="s">
        <v>57</v>
      </c>
    </row>
    <row r="57" spans="9:17" ht="15" thickBot="1" x14ac:dyDescent="0.35">
      <c r="I57" s="24" t="s">
        <v>41</v>
      </c>
      <c r="J57" s="29">
        <f>((K51)+(K52*2))/100</f>
        <v>3.6</v>
      </c>
      <c r="K57" s="11">
        <f>((1000/6)*J57)</f>
        <v>600</v>
      </c>
      <c r="L57" s="22">
        <f>((J57*100)/600)</f>
        <v>0.6</v>
      </c>
    </row>
    <row r="58" spans="9:17" x14ac:dyDescent="0.3">
      <c r="I58" s="25" t="s">
        <v>58</v>
      </c>
      <c r="J58" s="30">
        <f>K51/100</f>
        <v>1.2</v>
      </c>
      <c r="K58" s="2">
        <f>((870/6)*J58)</f>
        <v>174</v>
      </c>
      <c r="L58" s="22">
        <f t="shared" ref="L58" si="4">((J58*100)/600)</f>
        <v>0.2</v>
      </c>
      <c r="N58" s="227" t="s">
        <v>94</v>
      </c>
      <c r="O58" s="228"/>
      <c r="P58" s="228"/>
      <c r="Q58" s="229"/>
    </row>
    <row r="59" spans="9:17" ht="15" thickBot="1" x14ac:dyDescent="0.35">
      <c r="I59" s="25" t="s">
        <v>59</v>
      </c>
      <c r="J59" s="30">
        <f>(K51*2)/100</f>
        <v>2.4</v>
      </c>
      <c r="K59" s="2">
        <f>((710/6)*J59)</f>
        <v>284</v>
      </c>
      <c r="L59" s="22">
        <f>((J59*100)/600)</f>
        <v>0.4</v>
      </c>
      <c r="N59" s="230"/>
      <c r="O59" s="231"/>
      <c r="P59" s="231"/>
      <c r="Q59" s="232"/>
    </row>
    <row r="60" spans="9:17" ht="27" customHeight="1" thickBot="1" x14ac:dyDescent="0.35">
      <c r="I60" s="25" t="s">
        <v>43</v>
      </c>
      <c r="J60" s="30">
        <f>(K52*2)/100</f>
        <v>2.4</v>
      </c>
      <c r="K60" s="2">
        <f>((750/6)*J60)</f>
        <v>300</v>
      </c>
      <c r="L60" s="22">
        <f t="shared" ref="L60:L61" si="5">((J60*100)/600)</f>
        <v>0.4</v>
      </c>
      <c r="N60" s="233" t="s">
        <v>83</v>
      </c>
      <c r="O60" s="234"/>
      <c r="P60" s="235">
        <v>99.3</v>
      </c>
      <c r="Q60" s="236"/>
    </row>
    <row r="61" spans="9:17" ht="25.5" customHeight="1" thickBot="1" x14ac:dyDescent="0.35">
      <c r="I61" s="25" t="s">
        <v>44</v>
      </c>
      <c r="J61" s="30">
        <f>(K52*2)/100</f>
        <v>2.4</v>
      </c>
      <c r="K61" s="2">
        <f>((750/6)*J61)</f>
        <v>300</v>
      </c>
      <c r="L61" s="22">
        <f t="shared" si="5"/>
        <v>0.4</v>
      </c>
      <c r="N61" s="233" t="s">
        <v>95</v>
      </c>
      <c r="O61" s="234"/>
      <c r="P61" s="237">
        <v>196</v>
      </c>
      <c r="Q61" s="238"/>
    </row>
    <row r="62" spans="9:17" ht="29.25" customHeight="1" thickBot="1" x14ac:dyDescent="0.4">
      <c r="I62" s="25" t="s">
        <v>100</v>
      </c>
      <c r="J62" s="30">
        <f>(((K53-2)*K51)+((K54-1)*K52))/100</f>
        <v>8.4</v>
      </c>
      <c r="K62" s="2">
        <f>J62*36</f>
        <v>302.40000000000003</v>
      </c>
      <c r="L62" s="22">
        <f>((J62*100)/600)</f>
        <v>1.4</v>
      </c>
      <c r="N62" s="226" t="s">
        <v>96</v>
      </c>
      <c r="O62" s="78" t="s">
        <v>99</v>
      </c>
      <c r="P62" s="208">
        <f>P60</f>
        <v>99.3</v>
      </c>
      <c r="Q62" s="209"/>
    </row>
    <row r="63" spans="9:17" ht="31.5" customHeight="1" thickBot="1" x14ac:dyDescent="0.4">
      <c r="I63" s="25" t="s">
        <v>77</v>
      </c>
      <c r="J63" s="30">
        <f>((((K51)*2)*K54)/100)+((((K52)*2)*K53)/100)</f>
        <v>24</v>
      </c>
      <c r="K63" s="2">
        <f>((460/6)*J63)</f>
        <v>1840</v>
      </c>
      <c r="L63" s="22">
        <f>(J63/6)</f>
        <v>4</v>
      </c>
      <c r="N63" s="207"/>
      <c r="O63" s="77" t="s">
        <v>98</v>
      </c>
      <c r="P63" s="111">
        <f>(P61-1.2)</f>
        <v>194.8</v>
      </c>
      <c r="Q63" s="113"/>
    </row>
    <row r="64" spans="9:17" ht="33" customHeight="1" thickBot="1" x14ac:dyDescent="0.4">
      <c r="I64" s="25" t="s">
        <v>60</v>
      </c>
      <c r="J64" s="30">
        <f>(K51*K52)/10000</f>
        <v>1.44</v>
      </c>
      <c r="K64" s="2">
        <f>J64*K55</f>
        <v>892.8</v>
      </c>
      <c r="L64" s="40">
        <f>(J64/4.68)</f>
        <v>0.30769230769230771</v>
      </c>
      <c r="N64" s="206" t="s">
        <v>97</v>
      </c>
      <c r="O64" s="78" t="s">
        <v>99</v>
      </c>
      <c r="P64" s="208">
        <f>(P62-3.7)</f>
        <v>95.6</v>
      </c>
      <c r="Q64" s="209"/>
    </row>
    <row r="65" spans="9:17" ht="34.5" customHeight="1" thickBot="1" x14ac:dyDescent="0.4">
      <c r="I65" s="25" t="s">
        <v>78</v>
      </c>
      <c r="J65" s="30">
        <f>((((K51-18.5)*2)*K54)/100)+((((K52-15.5)*2)*K53)/100)</f>
        <v>20.659999999999997</v>
      </c>
      <c r="K65" s="2">
        <f>J65*40</f>
        <v>826.39999999999986</v>
      </c>
      <c r="L65" s="40">
        <v>0</v>
      </c>
      <c r="N65" s="207"/>
      <c r="O65" s="79" t="s">
        <v>98</v>
      </c>
      <c r="P65" s="111">
        <f>(P63-1.5)</f>
        <v>193.3</v>
      </c>
      <c r="Q65" s="113"/>
    </row>
    <row r="66" spans="9:17" x14ac:dyDescent="0.3">
      <c r="I66" s="25" t="s">
        <v>61</v>
      </c>
      <c r="J66" s="30">
        <f>((K51*2)+(K52*2))/100</f>
        <v>4.8</v>
      </c>
      <c r="K66" s="2">
        <f>(600/6)*J66</f>
        <v>480</v>
      </c>
      <c r="L66" s="40">
        <f>(J66*100)/600</f>
        <v>0.8</v>
      </c>
    </row>
    <row r="67" spans="9:17" x14ac:dyDescent="0.3">
      <c r="I67" s="25" t="s">
        <v>62</v>
      </c>
      <c r="J67" s="30">
        <v>0</v>
      </c>
      <c r="K67" s="2">
        <v>400</v>
      </c>
      <c r="L67" s="40">
        <v>0</v>
      </c>
    </row>
    <row r="68" spans="9:17" ht="15" thickBot="1" x14ac:dyDescent="0.35">
      <c r="I68" s="26" t="s">
        <v>63</v>
      </c>
      <c r="J68" s="31"/>
      <c r="K68" s="21">
        <v>1200</v>
      </c>
      <c r="L68" s="41">
        <v>0</v>
      </c>
    </row>
    <row r="69" spans="9:17" ht="15" thickBot="1" x14ac:dyDescent="0.35"/>
    <row r="70" spans="9:17" ht="15.6" x14ac:dyDescent="0.3">
      <c r="I70" s="129" t="s">
        <v>66</v>
      </c>
      <c r="J70" s="130"/>
      <c r="K70" s="131">
        <v>1</v>
      </c>
      <c r="L70" s="132"/>
    </row>
    <row r="71" spans="9:17" ht="18" thickBot="1" x14ac:dyDescent="0.35">
      <c r="I71" s="123" t="s">
        <v>79</v>
      </c>
      <c r="J71" s="124"/>
      <c r="K71" s="125">
        <f>SUM(K57+K58+K59+K60+K61+K62+K63+K64+K66+K67+K68)*K70</f>
        <v>6773.2</v>
      </c>
      <c r="L71" s="126"/>
    </row>
    <row r="72" spans="9:17" ht="18" thickBot="1" x14ac:dyDescent="0.35">
      <c r="I72" s="123" t="s">
        <v>80</v>
      </c>
      <c r="J72" s="124"/>
      <c r="K72" s="125">
        <f>SUM(K57:K68)*K70</f>
        <v>7599.5999999999995</v>
      </c>
      <c r="L72" s="126"/>
    </row>
  </sheetData>
  <mergeCells count="91">
    <mergeCell ref="U15:V16"/>
    <mergeCell ref="S17:T20"/>
    <mergeCell ref="U17:V20"/>
    <mergeCell ref="S15:T16"/>
    <mergeCell ref="N62:N63"/>
    <mergeCell ref="N58:Q59"/>
    <mergeCell ref="N60:O60"/>
    <mergeCell ref="N61:O61"/>
    <mergeCell ref="P60:Q60"/>
    <mergeCell ref="P61:Q61"/>
    <mergeCell ref="N37:Q38"/>
    <mergeCell ref="N39:O39"/>
    <mergeCell ref="P39:Q39"/>
    <mergeCell ref="O15:O16"/>
    <mergeCell ref="P15:P16"/>
    <mergeCell ref="Q15:Q16"/>
    <mergeCell ref="N64:N65"/>
    <mergeCell ref="P62:Q62"/>
    <mergeCell ref="P63:Q63"/>
    <mergeCell ref="P64:Q64"/>
    <mergeCell ref="P65:Q65"/>
    <mergeCell ref="I46:J46"/>
    <mergeCell ref="K46:L46"/>
    <mergeCell ref="I29:J29"/>
    <mergeCell ref="K29:L29"/>
    <mergeCell ref="I44:J44"/>
    <mergeCell ref="K44:L44"/>
    <mergeCell ref="I45:J45"/>
    <mergeCell ref="K45:L45"/>
    <mergeCell ref="I26:J26"/>
    <mergeCell ref="K26:L26"/>
    <mergeCell ref="I28:J28"/>
    <mergeCell ref="K28:L28"/>
    <mergeCell ref="I27:J27"/>
    <mergeCell ref="K27:L27"/>
    <mergeCell ref="N3:P7"/>
    <mergeCell ref="I6:J6"/>
    <mergeCell ref="K6:L6"/>
    <mergeCell ref="I23:L24"/>
    <mergeCell ref="I25:J25"/>
    <mergeCell ref="K25:L25"/>
    <mergeCell ref="K18:L18"/>
    <mergeCell ref="I18:J18"/>
    <mergeCell ref="K19:L19"/>
    <mergeCell ref="I19:J19"/>
    <mergeCell ref="N15:N16"/>
    <mergeCell ref="N9:V10"/>
    <mergeCell ref="P11:Q12"/>
    <mergeCell ref="P13:Q14"/>
    <mergeCell ref="N11:O12"/>
    <mergeCell ref="N13:O14"/>
    <mergeCell ref="B2:F4"/>
    <mergeCell ref="I2:L3"/>
    <mergeCell ref="I4:J4"/>
    <mergeCell ref="I5:J5"/>
    <mergeCell ref="K4:L4"/>
    <mergeCell ref="K5:L5"/>
    <mergeCell ref="N22:Q23"/>
    <mergeCell ref="N17:N18"/>
    <mergeCell ref="N19:N20"/>
    <mergeCell ref="O17:O20"/>
    <mergeCell ref="P17:P20"/>
    <mergeCell ref="Q17:Q20"/>
    <mergeCell ref="N27:Q27"/>
    <mergeCell ref="N29:O29"/>
    <mergeCell ref="P29:Q29"/>
    <mergeCell ref="N40:O40"/>
    <mergeCell ref="P40:Q40"/>
    <mergeCell ref="N41:O41"/>
    <mergeCell ref="P41:Q41"/>
    <mergeCell ref="N53:O53"/>
    <mergeCell ref="P53:Q53"/>
    <mergeCell ref="N54:O54"/>
    <mergeCell ref="P54:Q54"/>
    <mergeCell ref="I49:L50"/>
    <mergeCell ref="I51:J51"/>
    <mergeCell ref="K51:L51"/>
    <mergeCell ref="I52:J52"/>
    <mergeCell ref="K52:L52"/>
    <mergeCell ref="I53:J53"/>
    <mergeCell ref="K53:L53"/>
    <mergeCell ref="I54:J54"/>
    <mergeCell ref="K54:L54"/>
    <mergeCell ref="I72:J72"/>
    <mergeCell ref="K72:L72"/>
    <mergeCell ref="I71:J71"/>
    <mergeCell ref="K71:L71"/>
    <mergeCell ref="I55:J55"/>
    <mergeCell ref="K55:L55"/>
    <mergeCell ref="I70:J70"/>
    <mergeCell ref="K70:L70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7"/>
  <sheetViews>
    <sheetView workbookViewId="0">
      <selection activeCell="B29" sqref="B29"/>
    </sheetView>
  </sheetViews>
  <sheetFormatPr baseColWidth="10" defaultRowHeight="14.4" x14ac:dyDescent="0.3"/>
  <cols>
    <col min="1" max="1" width="6.5546875" customWidth="1"/>
    <col min="2" max="2" width="23.109375" customWidth="1"/>
    <col min="3" max="3" width="16.44140625" customWidth="1"/>
  </cols>
  <sheetData>
    <row r="1" spans="2:3" x14ac:dyDescent="0.3">
      <c r="B1" s="244" t="s">
        <v>49</v>
      </c>
      <c r="C1" s="244"/>
    </row>
    <row r="2" spans="2:3" x14ac:dyDescent="0.3">
      <c r="B2" s="19" t="s">
        <v>50</v>
      </c>
      <c r="C2" s="19" t="s">
        <v>33</v>
      </c>
    </row>
    <row r="3" spans="2:3" x14ac:dyDescent="0.3">
      <c r="B3" s="1" t="s">
        <v>51</v>
      </c>
      <c r="C3" s="2">
        <v>55</v>
      </c>
    </row>
    <row r="4" spans="2:3" x14ac:dyDescent="0.3">
      <c r="B4" s="20" t="s">
        <v>52</v>
      </c>
      <c r="C4" s="36">
        <v>55</v>
      </c>
    </row>
    <row r="5" spans="2:3" x14ac:dyDescent="0.3">
      <c r="B5" s="1" t="s">
        <v>53</v>
      </c>
      <c r="C5" s="2">
        <v>55</v>
      </c>
    </row>
    <row r="6" spans="2:3" x14ac:dyDescent="0.3">
      <c r="B6" s="20" t="s">
        <v>71</v>
      </c>
      <c r="C6" s="36"/>
    </row>
    <row r="7" spans="2:3" x14ac:dyDescent="0.3">
      <c r="B7" s="1" t="s">
        <v>72</v>
      </c>
      <c r="C7" s="2"/>
    </row>
    <row r="8" spans="2:3" x14ac:dyDescent="0.3">
      <c r="B8" s="20" t="s">
        <v>73</v>
      </c>
      <c r="C8" s="36">
        <v>50</v>
      </c>
    </row>
    <row r="9" spans="2:3" x14ac:dyDescent="0.3">
      <c r="B9" s="1"/>
      <c r="C9" s="2"/>
    </row>
    <row r="10" spans="2:3" x14ac:dyDescent="0.3">
      <c r="B10" s="20"/>
      <c r="C10" s="36"/>
    </row>
    <row r="11" spans="2:3" x14ac:dyDescent="0.3">
      <c r="B11" s="1"/>
      <c r="C11" s="2"/>
    </row>
    <row r="12" spans="2:3" x14ac:dyDescent="0.3">
      <c r="B12" s="20"/>
      <c r="C12" s="36"/>
    </row>
    <row r="13" spans="2:3" x14ac:dyDescent="0.3">
      <c r="B13" s="1"/>
      <c r="C13" s="2"/>
    </row>
    <row r="14" spans="2:3" x14ac:dyDescent="0.3">
      <c r="B14" s="20"/>
      <c r="C14" s="36"/>
    </row>
    <row r="15" spans="2:3" x14ac:dyDescent="0.3">
      <c r="B15" s="1"/>
      <c r="C15" s="2"/>
    </row>
    <row r="16" spans="2:3" x14ac:dyDescent="0.3">
      <c r="B16" s="20"/>
      <c r="C16" s="36"/>
    </row>
    <row r="17" spans="2:3" x14ac:dyDescent="0.3">
      <c r="B17" s="1"/>
      <c r="C17" s="2"/>
    </row>
    <row r="18" spans="2:3" x14ac:dyDescent="0.3">
      <c r="B18" s="20"/>
      <c r="C18" s="36"/>
    </row>
    <row r="19" spans="2:3" x14ac:dyDescent="0.3">
      <c r="B19" s="1"/>
      <c r="C19" s="2"/>
    </row>
    <row r="20" spans="2:3" x14ac:dyDescent="0.3">
      <c r="B20" s="20"/>
      <c r="C20" s="36"/>
    </row>
    <row r="21" spans="2:3" x14ac:dyDescent="0.3">
      <c r="B21" s="1"/>
      <c r="C21" s="2"/>
    </row>
    <row r="22" spans="2:3" x14ac:dyDescent="0.3">
      <c r="B22" s="20"/>
      <c r="C22" s="36"/>
    </row>
    <row r="23" spans="2:3" x14ac:dyDescent="0.3">
      <c r="B23" s="1"/>
      <c r="C23" s="2"/>
    </row>
    <row r="24" spans="2:3" x14ac:dyDescent="0.3">
      <c r="B24" s="20"/>
      <c r="C24" s="36"/>
    </row>
    <row r="25" spans="2:3" x14ac:dyDescent="0.3">
      <c r="B25" s="1"/>
      <c r="C25" s="2"/>
    </row>
    <row r="26" spans="2:3" x14ac:dyDescent="0.3">
      <c r="B26" s="20"/>
      <c r="C26" s="36"/>
    </row>
    <row r="27" spans="2:3" x14ac:dyDescent="0.3">
      <c r="B27" s="1"/>
      <c r="C27" s="2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vidrio</vt:lpstr>
      <vt:lpstr>Aluminio</vt:lpstr>
      <vt:lpstr>Complementos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nayo</dc:creator>
  <cp:lastModifiedBy>julio cesar arriaga mendoza</cp:lastModifiedBy>
  <dcterms:created xsi:type="dcterms:W3CDTF">2020-07-22T20:30:16Z</dcterms:created>
  <dcterms:modified xsi:type="dcterms:W3CDTF">2022-06-02T22:35:30Z</dcterms:modified>
</cp:coreProperties>
</file>